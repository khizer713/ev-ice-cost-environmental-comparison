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Ken\GitHub\ev-ice-cost-environmental-comparison\"/>
    </mc:Choice>
  </mc:AlternateContent>
  <xr:revisionPtr revIDLastSave="0" documentId="13_ncr:1_{867FFF30-BA81-4547-BC75-7B27AEEEEB1B}" xr6:coauthVersionLast="47" xr6:coauthVersionMax="47" xr10:uidLastSave="{00000000-0000-0000-0000-000000000000}"/>
  <bookViews>
    <workbookView xWindow="28680" yWindow="-6900" windowWidth="29040" windowHeight="15720" tabRatio="759" activeTab="8" xr2:uid="{4C21DBE5-C231-4D27-B799-787E40999791}"/>
  </bookViews>
  <sheets>
    <sheet name="Charge Stats" sheetId="16" r:id="rId1"/>
    <sheet name="Tracker Pivot" sheetId="4" r:id="rId2"/>
    <sheet name="Constants" sheetId="2" r:id="rId3"/>
    <sheet name="FPL Bill History" sheetId="6" r:id="rId4"/>
    <sheet name="Cost Saving Chart" sheetId="12" r:id="rId5"/>
    <sheet name="Emissions Chart" sheetId="11" r:id="rId6"/>
    <sheet name="Emissions Chart (Scenario)" sheetId="14" r:id="rId7"/>
    <sheet name="Emissions Savings" sheetId="9" r:id="rId8"/>
    <sheet name="Gas Chemistry" sheetId="8" r:id="rId9"/>
  </sheets>
  <externalReferences>
    <externalReference r:id="rId10"/>
  </externalReferences>
  <definedNames>
    <definedName name="_xlnm._FilterDatabase" localSheetId="3" hidden="1">'FPL Bill History'!$A$1:$M$14</definedName>
    <definedName name="Avg_MilesPerKWh">Constants!$C$6</definedName>
    <definedName name="ChargeCost_GasPricePerGallon_Range">'Charge Stats'!$V$4:$V$6000</definedName>
    <definedName name="ChargeStats_AllGasCost_Range">'Charge Stats'!$AC$4:$AC$6000</definedName>
    <definedName name="ChargeStats_AllHomeChg_Range">'Charge Stats'!$AD$4:$AD$6000</definedName>
    <definedName name="ChargeStats_AllSuperChgCost_Range">'Charge Stats'!$AB$4:$AB$6000</definedName>
    <definedName name="ChargeStats_AvgPricePerGallonoOfGas">'Charge Stats'!$V$2</definedName>
    <definedName name="ChargeStats_ChargeCostHome_Range">'Charge Stats'!$T$4:$T$6000</definedName>
    <definedName name="ChargeStats_ChargeCostSuperCharger_Range">'Charge Stats'!$S$4:$S$6000</definedName>
    <definedName name="ChargeStats_ChargeGasCostDifference_Range">'Charge Stats'!$Y$4:$Y$6000</definedName>
    <definedName name="ChargeStats_ChgEndTime_Range">'Charge Stats'!$M$4:$M$6000</definedName>
    <definedName name="ChargeStats_ChgHours_Range">'Charge Stats'!$N$4:$N$6000</definedName>
    <definedName name="ChargeStats_ChgPct_Range">'Charge Stats'!$K$4:$K$6000</definedName>
    <definedName name="ChargeStats_ChgPctAfter_Range">'Charge Stats'!$J$4:$J$6000</definedName>
    <definedName name="ChargeStats_ChgPctStart_Range">'Charge Stats'!$I$4:$I$6000</definedName>
    <definedName name="ChargeStats_ChgStartTime_Range">'Charge Stats'!$L$4:$L$6000</definedName>
    <definedName name="ChargeStats_CostPerKWhHome_Range">'Charge Stats'!$R$4:$R$6000</definedName>
    <definedName name="ChargeStats_CostPerKWhSuperCharger_Range">'Charge Stats'!$Q$4:$Q$6000</definedName>
    <definedName name="ChargeStats_Date_Range">'Charge Stats'!$A$4:$A$6000</definedName>
    <definedName name="ChargeStats_EstGallonsOfGas_Range">'Charge Stats'!$W$4:$W$6000</definedName>
    <definedName name="ChargeStats_EstGasCost_Range">'Charge Stats'!$X$4:$X$6000</definedName>
    <definedName name="ChargeStats_GasCostPctSaving_Range">'Charge Stats'!$Z$4:$Z$6000</definedName>
    <definedName name="ChargeStats_GasPricePerGallon_Range">'Charge Stats'!$V$4:$V$6000</definedName>
    <definedName name="ChargeStats_HomeChgSaving_Range">'Charge Stats'!$AA$4:$AA$6000</definedName>
    <definedName name="ChargeStats_HomeKWh_Range">'Charge Stats'!$G$4:$G$6000</definedName>
    <definedName name="ChargeStats_HomeL1KWh_Range">'Charge Stats'!$E$4:$E$6000</definedName>
    <definedName name="ChargeStats_HomeL2KWh_Range">'Charge Stats'!$F$4:$F$6000</definedName>
    <definedName name="ChargeStats_MaxMilesAfterChg_Range">'Charge Stats'!$O$4:$O$6000</definedName>
    <definedName name="ChargeStats_MilesPerKWh_Range">'Charge Stats'!$P$4:$P$6000</definedName>
    <definedName name="ChargeStats_OdometerMiles_Range">'Charge Stats'!$B$4:$B$6000</definedName>
    <definedName name="ChargeStats_SuperChargerKWh_Range">'Charge Stats'!$D$4:$D$6000</definedName>
    <definedName name="ChargeStats_TotalChargeCost_Range">'Charge Stats'!$U$4:$U$6000</definedName>
    <definedName name="ChargeStats_TotalKWh_Range">'Charge Stats'!$H$4:$H$6000</definedName>
    <definedName name="Cost_PerKWh_Home_ChargeStats">'Charge Stats'!$R$2</definedName>
    <definedName name="FPLBillHistory_BilledPricePerKW_Range">'FPL Bill History'!$M$1:$M$200</definedName>
    <definedName name="FPLBillHistory_BillFromDate_Range">'FPL Bill History'!$C$1:$C$200</definedName>
    <definedName name="FPLBillHistory_BillToDate_Range">'FPL Bill History'!$D$1:$D$200</definedName>
    <definedName name="KWh_Cost_Home">'Charge Stats'!$R$2</definedName>
    <definedName name="MaxChargePercent">Constants!$C$2</definedName>
    <definedName name="MPG_Kia">Constants!$C$1</definedName>
    <definedName name="Total_GallonsGas">'Charge Stats'!$W$2</definedName>
    <definedName name="Total_KWs">'Charge Stats'!$H$2</definedName>
  </definedNames>
  <calcPr calcId="191029"/>
  <pivotCaches>
    <pivotCache cacheId="4"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6" l="1"/>
  <c r="H3" i="6"/>
  <c r="G4" i="6"/>
  <c r="H4" i="6"/>
  <c r="G5" i="6"/>
  <c r="H5" i="6"/>
  <c r="G6" i="6"/>
  <c r="H6" i="6"/>
  <c r="G7" i="6"/>
  <c r="H7" i="6"/>
  <c r="G8" i="6"/>
  <c r="H8" i="6"/>
  <c r="G9" i="6"/>
  <c r="H9" i="6"/>
  <c r="G10" i="6"/>
  <c r="H10" i="6"/>
  <c r="G11" i="6"/>
  <c r="H11" i="6"/>
  <c r="G12" i="6"/>
  <c r="H12" i="6"/>
  <c r="G13" i="6"/>
  <c r="H13" i="6"/>
  <c r="G14" i="6"/>
  <c r="H14" i="6"/>
  <c r="G15" i="6"/>
  <c r="H15" i="6"/>
  <c r="G16" i="6"/>
  <c r="H16" i="6"/>
  <c r="G17" i="6"/>
  <c r="H17" i="6"/>
  <c r="H2" i="6"/>
  <c r="G2" i="6"/>
  <c r="P2" i="12"/>
  <c r="O2" i="12"/>
  <c r="N2" i="12"/>
  <c r="M2" i="12"/>
  <c r="L2" i="12"/>
  <c r="K2" i="12"/>
  <c r="J2" i="12"/>
  <c r="I2" i="12"/>
  <c r="H2" i="12"/>
  <c r="G2" i="12"/>
  <c r="E2" i="12"/>
  <c r="D2" i="12"/>
  <c r="C2" i="12"/>
  <c r="AX2" i="16"/>
  <c r="AW2" i="16"/>
  <c r="AV2" i="16"/>
  <c r="AU2" i="16"/>
  <c r="AT2" i="16"/>
  <c r="AS2" i="16"/>
  <c r="AR2" i="16"/>
  <c r="AQ2" i="16"/>
  <c r="AP2" i="16"/>
  <c r="AO2" i="16"/>
  <c r="AN2" i="16"/>
  <c r="AM2" i="16"/>
  <c r="AL2" i="16"/>
  <c r="AK2" i="16"/>
  <c r="AJ2" i="16"/>
  <c r="B2" i="11" s="1"/>
  <c r="AI2" i="16"/>
  <c r="AH2" i="16"/>
  <c r="AG2" i="16"/>
  <c r="AF2" i="16"/>
  <c r="AE2" i="16"/>
  <c r="AD2" i="16"/>
  <c r="AC2" i="16"/>
  <c r="AB2" i="16"/>
  <c r="AA2" i="16"/>
  <c r="V2" i="16"/>
  <c r="C7" i="2" s="1"/>
  <c r="R2" i="16"/>
  <c r="Q2" i="16"/>
  <c r="N2" i="16"/>
  <c r="K2" i="16"/>
  <c r="G2" i="16"/>
  <c r="F2" i="16"/>
  <c r="E2" i="16"/>
  <c r="D2" i="16"/>
  <c r="C2" i="16"/>
  <c r="B2" i="16"/>
  <c r="K10" i="9"/>
  <c r="K9" i="9"/>
  <c r="R3" i="14"/>
  <c r="Q3" i="14"/>
  <c r="P3" i="14"/>
  <c r="O3" i="14"/>
  <c r="N3" i="14"/>
  <c r="M3" i="14"/>
  <c r="L3" i="14"/>
  <c r="K3" i="14"/>
  <c r="J3" i="14"/>
  <c r="I3" i="14"/>
  <c r="H3" i="14"/>
  <c r="G3" i="14"/>
  <c r="F3" i="14"/>
  <c r="E3" i="14"/>
  <c r="D3" i="14"/>
  <c r="C3" i="14"/>
  <c r="B3" i="14"/>
  <c r="R4" i="14"/>
  <c r="Q4" i="14"/>
  <c r="P4" i="14"/>
  <c r="O4" i="14"/>
  <c r="N4" i="14"/>
  <c r="M4" i="14"/>
  <c r="L4" i="14"/>
  <c r="K4" i="14"/>
  <c r="J4" i="14"/>
  <c r="I4" i="14"/>
  <c r="H4" i="14"/>
  <c r="G4" i="14"/>
  <c r="F4" i="14"/>
  <c r="E4" i="14"/>
  <c r="D4" i="14"/>
  <c r="C4" i="14"/>
  <c r="B4" i="14"/>
  <c r="R2" i="14"/>
  <c r="Q2" i="14"/>
  <c r="R4" i="11"/>
  <c r="Q4" i="11"/>
  <c r="P4" i="11"/>
  <c r="O4" i="11"/>
  <c r="N4" i="11"/>
  <c r="M4" i="11"/>
  <c r="L4" i="11"/>
  <c r="K4" i="11"/>
  <c r="J4" i="11"/>
  <c r="I4" i="11"/>
  <c r="H4" i="11"/>
  <c r="G4" i="11"/>
  <c r="F4" i="11"/>
  <c r="E4" i="11"/>
  <c r="D4" i="11"/>
  <c r="C4" i="11"/>
  <c r="B4" i="11"/>
  <c r="R3" i="11"/>
  <c r="Q3" i="11"/>
  <c r="P3" i="11"/>
  <c r="O3" i="11"/>
  <c r="N3" i="11"/>
  <c r="M3" i="11"/>
  <c r="L3" i="11"/>
  <c r="K3" i="11"/>
  <c r="J3" i="11"/>
  <c r="I3" i="11"/>
  <c r="H3" i="11"/>
  <c r="G3" i="11"/>
  <c r="F3" i="11"/>
  <c r="E3" i="11"/>
  <c r="D3" i="11"/>
  <c r="C3" i="11"/>
  <c r="B3" i="11"/>
  <c r="R2" i="11"/>
  <c r="Q2" i="11"/>
  <c r="AH46" i="16"/>
  <c r="AI46" i="16"/>
  <c r="AK46" i="16"/>
  <c r="AL46" i="16"/>
  <c r="AM46" i="16"/>
  <c r="AN46" i="16"/>
  <c r="AO46" i="16"/>
  <c r="AH47" i="16"/>
  <c r="AI47" i="16"/>
  <c r="AK47" i="16"/>
  <c r="AL47" i="16"/>
  <c r="AM47" i="16"/>
  <c r="AN47" i="16"/>
  <c r="AO47" i="16"/>
  <c r="AH48" i="16"/>
  <c r="AI48" i="16"/>
  <c r="AK48" i="16"/>
  <c r="AL48" i="16"/>
  <c r="AM48" i="16"/>
  <c r="AN48" i="16"/>
  <c r="AO48" i="16"/>
  <c r="AH49" i="16"/>
  <c r="AI49" i="16"/>
  <c r="AK49" i="16"/>
  <c r="AL49" i="16"/>
  <c r="AM49" i="16"/>
  <c r="AN49" i="16"/>
  <c r="AO49" i="16"/>
  <c r="AH50" i="16"/>
  <c r="AI50" i="16"/>
  <c r="AK50" i="16"/>
  <c r="AL50" i="16"/>
  <c r="AM50" i="16"/>
  <c r="AN50" i="16"/>
  <c r="AO50" i="16"/>
  <c r="AH51" i="16"/>
  <c r="AI51" i="16"/>
  <c r="AK51" i="16"/>
  <c r="AL51" i="16"/>
  <c r="AM51" i="16"/>
  <c r="AN51" i="16"/>
  <c r="AO51" i="16"/>
  <c r="AH52" i="16"/>
  <c r="AI52" i="16"/>
  <c r="AK52" i="16"/>
  <c r="AL52" i="16"/>
  <c r="AM52" i="16"/>
  <c r="AN52" i="16"/>
  <c r="AO52" i="16"/>
  <c r="AH53" i="16"/>
  <c r="AI53" i="16"/>
  <c r="AK53" i="16"/>
  <c r="AL53" i="16"/>
  <c r="AM53" i="16"/>
  <c r="AN53" i="16"/>
  <c r="AO53" i="16"/>
  <c r="AH54" i="16"/>
  <c r="AI54" i="16"/>
  <c r="AK54" i="16"/>
  <c r="AL54" i="16"/>
  <c r="AM54" i="16"/>
  <c r="AN54" i="16"/>
  <c r="AO54" i="16"/>
  <c r="AH55" i="16"/>
  <c r="AI55" i="16"/>
  <c r="AK55" i="16"/>
  <c r="AL55" i="16"/>
  <c r="AM55" i="16"/>
  <c r="AN55" i="16"/>
  <c r="AO55" i="16"/>
  <c r="AH56" i="16"/>
  <c r="AI56" i="16"/>
  <c r="AK56" i="16"/>
  <c r="AL56" i="16"/>
  <c r="AM56" i="16"/>
  <c r="AN56" i="16"/>
  <c r="AO56" i="16"/>
  <c r="AH21" i="16"/>
  <c r="AI21" i="16"/>
  <c r="AK21" i="16"/>
  <c r="AL21" i="16"/>
  <c r="AM21" i="16"/>
  <c r="AN21" i="16"/>
  <c r="AO21" i="16"/>
  <c r="AH22" i="16"/>
  <c r="AI22" i="16"/>
  <c r="AK22" i="16"/>
  <c r="AL22" i="16"/>
  <c r="AM22" i="16"/>
  <c r="AN22" i="16"/>
  <c r="AO22" i="16"/>
  <c r="AH23" i="16"/>
  <c r="AI23" i="16"/>
  <c r="AK23" i="16"/>
  <c r="AL23" i="16"/>
  <c r="AM23" i="16"/>
  <c r="AN23" i="16"/>
  <c r="AO23" i="16"/>
  <c r="AH24" i="16"/>
  <c r="AI24" i="16"/>
  <c r="AK24" i="16"/>
  <c r="AL24" i="16"/>
  <c r="AM24" i="16"/>
  <c r="AN24" i="16"/>
  <c r="AO24" i="16"/>
  <c r="AH25" i="16"/>
  <c r="AI25" i="16"/>
  <c r="AK25" i="16"/>
  <c r="AL25" i="16"/>
  <c r="AM25" i="16"/>
  <c r="AN25" i="16"/>
  <c r="AO25" i="16"/>
  <c r="AH26" i="16"/>
  <c r="AI26" i="16"/>
  <c r="AK26" i="16"/>
  <c r="AL26" i="16"/>
  <c r="AM26" i="16"/>
  <c r="AN26" i="16"/>
  <c r="AO26" i="16"/>
  <c r="AH27" i="16"/>
  <c r="AI27" i="16"/>
  <c r="AK27" i="16"/>
  <c r="AL27" i="16"/>
  <c r="AM27" i="16"/>
  <c r="AN27" i="16"/>
  <c r="AO27" i="16"/>
  <c r="AH28" i="16"/>
  <c r="AI28" i="16"/>
  <c r="AK28" i="16"/>
  <c r="AL28" i="16"/>
  <c r="AM28" i="16"/>
  <c r="AN28" i="16"/>
  <c r="AO28" i="16"/>
  <c r="AH29" i="16"/>
  <c r="AI29" i="16"/>
  <c r="AK29" i="16"/>
  <c r="AL29" i="16"/>
  <c r="AM29" i="16"/>
  <c r="AN29" i="16"/>
  <c r="AO29" i="16"/>
  <c r="AH30" i="16"/>
  <c r="AI30" i="16"/>
  <c r="AK30" i="16"/>
  <c r="AL30" i="16"/>
  <c r="AM30" i="16"/>
  <c r="AN30" i="16"/>
  <c r="AO30" i="16"/>
  <c r="AH31" i="16"/>
  <c r="AI31" i="16"/>
  <c r="AK31" i="16"/>
  <c r="AL31" i="16"/>
  <c r="AM31" i="16"/>
  <c r="AN31" i="16"/>
  <c r="AO31" i="16"/>
  <c r="AH32" i="16"/>
  <c r="AI32" i="16"/>
  <c r="AK32" i="16"/>
  <c r="AL32" i="16"/>
  <c r="AM32" i="16"/>
  <c r="AN32" i="16"/>
  <c r="AO32" i="16"/>
  <c r="AH33" i="16"/>
  <c r="AI33" i="16"/>
  <c r="AK33" i="16"/>
  <c r="AL33" i="16"/>
  <c r="AM33" i="16"/>
  <c r="AN33" i="16"/>
  <c r="AO33" i="16"/>
  <c r="AH34" i="16"/>
  <c r="AI34" i="16"/>
  <c r="AK34" i="16"/>
  <c r="AL34" i="16"/>
  <c r="AM34" i="16"/>
  <c r="AN34" i="16"/>
  <c r="AO34" i="16"/>
  <c r="AH35" i="16"/>
  <c r="AI35" i="16"/>
  <c r="AK35" i="16"/>
  <c r="AL35" i="16"/>
  <c r="AM35" i="16"/>
  <c r="AN35" i="16"/>
  <c r="AO35" i="16"/>
  <c r="AH36" i="16"/>
  <c r="AI36" i="16"/>
  <c r="AK36" i="16"/>
  <c r="AL36" i="16"/>
  <c r="AM36" i="16"/>
  <c r="AN36" i="16"/>
  <c r="AO36" i="16"/>
  <c r="AH37" i="16"/>
  <c r="AI37" i="16"/>
  <c r="AK37" i="16"/>
  <c r="AL37" i="16"/>
  <c r="AM37" i="16"/>
  <c r="AN37" i="16"/>
  <c r="AO37" i="16"/>
  <c r="AH38" i="16"/>
  <c r="AI38" i="16"/>
  <c r="AK38" i="16"/>
  <c r="AL38" i="16"/>
  <c r="AM38" i="16"/>
  <c r="AN38" i="16"/>
  <c r="AO38" i="16"/>
  <c r="AH39" i="16"/>
  <c r="AI39" i="16"/>
  <c r="AK39" i="16"/>
  <c r="AL39" i="16"/>
  <c r="AM39" i="16"/>
  <c r="AN39" i="16"/>
  <c r="AO39" i="16"/>
  <c r="AH40" i="16"/>
  <c r="AI40" i="16"/>
  <c r="AK40" i="16"/>
  <c r="AL40" i="16"/>
  <c r="AM40" i="16"/>
  <c r="AN40" i="16"/>
  <c r="AO40" i="16"/>
  <c r="AH41" i="16"/>
  <c r="AI41" i="16"/>
  <c r="AK41" i="16"/>
  <c r="AL41" i="16"/>
  <c r="AM41" i="16"/>
  <c r="AN41" i="16"/>
  <c r="AO41" i="16"/>
  <c r="AH42" i="16"/>
  <c r="AI42" i="16"/>
  <c r="AK42" i="16"/>
  <c r="AL42" i="16"/>
  <c r="AM42" i="16"/>
  <c r="AN42" i="16"/>
  <c r="AO42" i="16"/>
  <c r="AH43" i="16"/>
  <c r="AI43" i="16"/>
  <c r="AK43" i="16"/>
  <c r="AL43" i="16"/>
  <c r="AM43" i="16"/>
  <c r="AN43" i="16"/>
  <c r="AO43" i="16"/>
  <c r="AH44" i="16"/>
  <c r="AI44" i="16"/>
  <c r="AK44" i="16"/>
  <c r="AL44" i="16"/>
  <c r="AM44" i="16"/>
  <c r="AN44" i="16"/>
  <c r="AO44" i="16"/>
  <c r="AH45" i="16"/>
  <c r="AI45" i="16"/>
  <c r="AK45" i="16"/>
  <c r="AL45" i="16"/>
  <c r="AM45" i="16"/>
  <c r="AN45" i="16"/>
  <c r="AO45" i="16"/>
  <c r="AH7" i="16"/>
  <c r="AI7" i="16"/>
  <c r="AK7" i="16"/>
  <c r="AL7" i="16"/>
  <c r="AM7" i="16"/>
  <c r="AN7" i="16"/>
  <c r="AO7" i="16"/>
  <c r="AH8" i="16"/>
  <c r="AI8" i="16"/>
  <c r="AK8" i="16"/>
  <c r="AL8" i="16"/>
  <c r="AM8" i="16"/>
  <c r="AN8" i="16"/>
  <c r="AO8" i="16"/>
  <c r="AH9" i="16"/>
  <c r="AI9" i="16"/>
  <c r="AK9" i="16"/>
  <c r="AL9" i="16"/>
  <c r="AM9" i="16"/>
  <c r="AN9" i="16"/>
  <c r="AO9" i="16"/>
  <c r="AH10" i="16"/>
  <c r="AI10" i="16"/>
  <c r="AK10" i="16"/>
  <c r="AL10" i="16"/>
  <c r="AM10" i="16"/>
  <c r="AN10" i="16"/>
  <c r="AO10" i="16"/>
  <c r="AH11" i="16"/>
  <c r="AI11" i="16"/>
  <c r="AK11" i="16"/>
  <c r="AL11" i="16"/>
  <c r="AM11" i="16"/>
  <c r="AN11" i="16"/>
  <c r="AO11" i="16"/>
  <c r="AH12" i="16"/>
  <c r="AI12" i="16"/>
  <c r="AK12" i="16"/>
  <c r="AL12" i="16"/>
  <c r="AM12" i="16"/>
  <c r="AN12" i="16"/>
  <c r="AO12" i="16"/>
  <c r="AH13" i="16"/>
  <c r="AI13" i="16"/>
  <c r="AK13" i="16"/>
  <c r="AL13" i="16"/>
  <c r="AM13" i="16"/>
  <c r="AN13" i="16"/>
  <c r="AO13" i="16"/>
  <c r="AH14" i="16"/>
  <c r="AI14" i="16"/>
  <c r="AK14" i="16"/>
  <c r="AL14" i="16"/>
  <c r="AM14" i="16"/>
  <c r="AN14" i="16"/>
  <c r="AO14" i="16"/>
  <c r="AH15" i="16"/>
  <c r="AI15" i="16"/>
  <c r="AK15" i="16"/>
  <c r="AL15" i="16"/>
  <c r="AM15" i="16"/>
  <c r="AN15" i="16"/>
  <c r="AO15" i="16"/>
  <c r="AH16" i="16"/>
  <c r="AI16" i="16"/>
  <c r="AK16" i="16"/>
  <c r="AL16" i="16"/>
  <c r="AM16" i="16"/>
  <c r="AN16" i="16"/>
  <c r="AO16" i="16"/>
  <c r="AH17" i="16"/>
  <c r="AI17" i="16"/>
  <c r="AK17" i="16"/>
  <c r="AL17" i="16"/>
  <c r="AM17" i="16"/>
  <c r="AN17" i="16"/>
  <c r="AO17" i="16"/>
  <c r="AH18" i="16"/>
  <c r="AI18" i="16"/>
  <c r="AK18" i="16"/>
  <c r="AL18" i="16"/>
  <c r="AM18" i="16"/>
  <c r="AN18" i="16"/>
  <c r="AO18" i="16"/>
  <c r="AH19" i="16"/>
  <c r="AI19" i="16"/>
  <c r="AK19" i="16"/>
  <c r="AL19" i="16"/>
  <c r="AM19" i="16"/>
  <c r="AN19" i="16"/>
  <c r="AO19" i="16"/>
  <c r="AH20" i="16"/>
  <c r="AI20" i="16"/>
  <c r="AK20" i="16"/>
  <c r="AL20" i="16"/>
  <c r="AM20" i="16"/>
  <c r="AN20" i="16"/>
  <c r="AO20" i="16"/>
  <c r="AO6" i="16"/>
  <c r="AN6" i="16"/>
  <c r="AM6" i="16"/>
  <c r="AL6" i="16"/>
  <c r="AK6" i="16"/>
  <c r="AI6" i="16"/>
  <c r="AH6" i="16"/>
  <c r="AP27" i="16"/>
  <c r="AR27" i="16" s="1"/>
  <c r="AQ27" i="16"/>
  <c r="AT27" i="16"/>
  <c r="AP28" i="16"/>
  <c r="AS28" i="16" s="1"/>
  <c r="AQ28" i="16"/>
  <c r="AR28" i="16"/>
  <c r="AT28" i="16"/>
  <c r="AU28" i="16"/>
  <c r="AV28" i="16"/>
  <c r="AP29" i="16"/>
  <c r="AT29" i="16" s="1"/>
  <c r="AQ29" i="16"/>
  <c r="AR29" i="16"/>
  <c r="AS29" i="16"/>
  <c r="AU29" i="16"/>
  <c r="AV29" i="16"/>
  <c r="AP30" i="16"/>
  <c r="AQ30" i="16" s="1"/>
  <c r="AS30" i="16"/>
  <c r="AT30" i="16"/>
  <c r="AP31" i="16"/>
  <c r="AV31" i="16" s="1"/>
  <c r="AQ31" i="16"/>
  <c r="AS31" i="16"/>
  <c r="AT31" i="16"/>
  <c r="AU31" i="16"/>
  <c r="AP32" i="16"/>
  <c r="AR32" i="16" s="1"/>
  <c r="AQ32" i="16"/>
  <c r="AV32" i="16"/>
  <c r="AP33" i="16"/>
  <c r="AT33" i="16" s="1"/>
  <c r="AQ33" i="16"/>
  <c r="AR33" i="16"/>
  <c r="AS33" i="16"/>
  <c r="AU33" i="16"/>
  <c r="AV33" i="16"/>
  <c r="AP34" i="16"/>
  <c r="AQ34" i="16" s="1"/>
  <c r="AP35" i="16"/>
  <c r="AR35" i="16" s="1"/>
  <c r="AQ35" i="16"/>
  <c r="AT35" i="16"/>
  <c r="AU35" i="16"/>
  <c r="AP36" i="16"/>
  <c r="AS36" i="16" s="1"/>
  <c r="AQ36" i="16"/>
  <c r="AR36" i="16"/>
  <c r="AT36" i="16"/>
  <c r="AU36" i="16"/>
  <c r="AP37" i="16"/>
  <c r="AQ37" i="16" s="1"/>
  <c r="AR37" i="16"/>
  <c r="AS37" i="16"/>
  <c r="AV37" i="16"/>
  <c r="AP38" i="16"/>
  <c r="AU38" i="16" s="1"/>
  <c r="AS38" i="16"/>
  <c r="AT38" i="16"/>
  <c r="AP39" i="16"/>
  <c r="AQ39" i="16" s="1"/>
  <c r="AP40" i="16"/>
  <c r="AS40" i="16" s="1"/>
  <c r="AQ40" i="16"/>
  <c r="AR40" i="16"/>
  <c r="AT40" i="16"/>
  <c r="AU40" i="16"/>
  <c r="AV40" i="16"/>
  <c r="AP41" i="16"/>
  <c r="AQ41" i="16"/>
  <c r="AR41" i="16"/>
  <c r="AS41" i="16"/>
  <c r="AT41" i="16"/>
  <c r="AU41" i="16"/>
  <c r="AV41" i="16"/>
  <c r="AP42" i="16"/>
  <c r="AQ42" i="16" s="1"/>
  <c r="AT42" i="16"/>
  <c r="AP43" i="16"/>
  <c r="AR43" i="16" s="1"/>
  <c r="AQ43" i="16"/>
  <c r="AT43" i="16"/>
  <c r="AP44" i="16"/>
  <c r="AQ44" i="16"/>
  <c r="AR44" i="16"/>
  <c r="AS44" i="16"/>
  <c r="AT44" i="16"/>
  <c r="AU44" i="16"/>
  <c r="AV44" i="16"/>
  <c r="AP45" i="16"/>
  <c r="AT45" i="16" s="1"/>
  <c r="AQ45" i="16"/>
  <c r="AR45" i="16"/>
  <c r="AS45" i="16"/>
  <c r="AU45" i="16"/>
  <c r="AV45" i="16"/>
  <c r="AP46" i="16"/>
  <c r="AR46" i="16" s="1"/>
  <c r="AQ46" i="16"/>
  <c r="AS46" i="16"/>
  <c r="AT46" i="16"/>
  <c r="AP47" i="16"/>
  <c r="AV47" i="16" s="1"/>
  <c r="AQ47" i="16"/>
  <c r="AS47" i="16"/>
  <c r="AT47" i="16"/>
  <c r="AU47" i="16"/>
  <c r="AP48" i="16"/>
  <c r="AR48" i="16" s="1"/>
  <c r="AQ48" i="16"/>
  <c r="AV48" i="16"/>
  <c r="AP49" i="16"/>
  <c r="AT49" i="16" s="1"/>
  <c r="AQ49" i="16"/>
  <c r="AR49" i="16"/>
  <c r="AS49" i="16"/>
  <c r="AU49" i="16"/>
  <c r="AV49" i="16"/>
  <c r="AP50" i="16"/>
  <c r="AQ50" i="16" s="1"/>
  <c r="AP51" i="16"/>
  <c r="AR51" i="16" s="1"/>
  <c r="AQ51" i="16"/>
  <c r="AT51" i="16"/>
  <c r="AU51" i="16"/>
  <c r="AP52" i="16"/>
  <c r="AS52" i="16" s="1"/>
  <c r="AQ52" i="16"/>
  <c r="AR52" i="16"/>
  <c r="AU52" i="16"/>
  <c r="AP53" i="16"/>
  <c r="AQ53" i="16" s="1"/>
  <c r="AR53" i="16"/>
  <c r="AS53" i="16"/>
  <c r="AV53" i="16"/>
  <c r="AP54" i="16"/>
  <c r="AU54" i="16" s="1"/>
  <c r="AS54" i="16"/>
  <c r="AT54" i="16"/>
  <c r="AP55" i="16"/>
  <c r="AQ55" i="16" s="1"/>
  <c r="AP56" i="16"/>
  <c r="AS56" i="16" s="1"/>
  <c r="AQ56" i="16"/>
  <c r="AR56" i="16"/>
  <c r="AT56" i="16"/>
  <c r="AU56" i="16"/>
  <c r="AV56" i="16"/>
  <c r="AP58" i="16"/>
  <c r="AQ58" i="16" s="1"/>
  <c r="AT58" i="16"/>
  <c r="AP59" i="16"/>
  <c r="AR59" i="16" s="1"/>
  <c r="AQ59" i="16"/>
  <c r="AT59" i="16"/>
  <c r="AP60" i="16"/>
  <c r="AQ60" i="16"/>
  <c r="AR60" i="16"/>
  <c r="AS60" i="16"/>
  <c r="AT60" i="16"/>
  <c r="AU60" i="16"/>
  <c r="AV60" i="16"/>
  <c r="AP61" i="16"/>
  <c r="AT61" i="16" s="1"/>
  <c r="AQ61" i="16"/>
  <c r="AR61" i="16"/>
  <c r="AS61" i="16"/>
  <c r="AU61" i="16"/>
  <c r="AV61" i="16"/>
  <c r="AP62" i="16"/>
  <c r="AQ62" i="16" s="1"/>
  <c r="AS62" i="16"/>
  <c r="AT62" i="16"/>
  <c r="AP63" i="16"/>
  <c r="AV63" i="16" s="1"/>
  <c r="AQ63" i="16"/>
  <c r="AS63" i="16"/>
  <c r="AT63" i="16"/>
  <c r="AU63" i="16"/>
  <c r="AP64" i="16"/>
  <c r="AR64" i="16" s="1"/>
  <c r="AQ64" i="16"/>
  <c r="AV64" i="16"/>
  <c r="AP65" i="16"/>
  <c r="AT65" i="16" s="1"/>
  <c r="AQ65" i="16"/>
  <c r="AR65" i="16"/>
  <c r="AS65" i="16"/>
  <c r="AU65" i="16"/>
  <c r="AV65" i="16"/>
  <c r="AP66" i="16"/>
  <c r="AQ66" i="16" s="1"/>
  <c r="AP67" i="16"/>
  <c r="AR67" i="16" s="1"/>
  <c r="AQ67" i="16"/>
  <c r="AT67" i="16"/>
  <c r="AU67" i="16"/>
  <c r="AP68" i="16"/>
  <c r="AS68" i="16" s="1"/>
  <c r="AQ68" i="16"/>
  <c r="AR68" i="16"/>
  <c r="AT68" i="16"/>
  <c r="AU68" i="16"/>
  <c r="AP7" i="16"/>
  <c r="AR7" i="16" s="1"/>
  <c r="AQ7" i="16"/>
  <c r="AS7" i="16"/>
  <c r="AT7" i="16"/>
  <c r="AU7" i="16"/>
  <c r="AV7" i="16"/>
  <c r="AP8" i="16"/>
  <c r="AQ8" i="16" s="1"/>
  <c r="AR8" i="16"/>
  <c r="AS8" i="16"/>
  <c r="AT8" i="16"/>
  <c r="AU8" i="16"/>
  <c r="AV8" i="16"/>
  <c r="AP9" i="16"/>
  <c r="AQ9" i="16"/>
  <c r="AR9" i="16"/>
  <c r="AS9" i="16"/>
  <c r="AT9" i="16"/>
  <c r="AU9" i="16"/>
  <c r="AV9" i="16"/>
  <c r="AP10" i="16"/>
  <c r="AR10" i="16" s="1"/>
  <c r="AQ10" i="16"/>
  <c r="AP11" i="16"/>
  <c r="AT11" i="16" s="1"/>
  <c r="AQ11" i="16"/>
  <c r="AS11" i="16"/>
  <c r="AP12" i="16"/>
  <c r="AT12" i="16" s="1"/>
  <c r="AQ12" i="16"/>
  <c r="AR12" i="16"/>
  <c r="AS12" i="16"/>
  <c r="AP13" i="16"/>
  <c r="AV13" i="16" s="1"/>
  <c r="AS13" i="16"/>
  <c r="AP14" i="16"/>
  <c r="AQ14" i="16" s="1"/>
  <c r="AS14" i="16"/>
  <c r="AT14" i="16"/>
  <c r="AU14" i="16"/>
  <c r="AP15" i="16"/>
  <c r="AV15" i="16" s="1"/>
  <c r="AQ15" i="16"/>
  <c r="AR15" i="16"/>
  <c r="AS15" i="16"/>
  <c r="AT15" i="16"/>
  <c r="AU15" i="16"/>
  <c r="AP16" i="16"/>
  <c r="AQ16" i="16" s="1"/>
  <c r="AR16" i="16"/>
  <c r="AT16" i="16"/>
  <c r="AU16" i="16"/>
  <c r="AV16" i="16"/>
  <c r="AP17" i="16"/>
  <c r="AQ17" i="16" s="1"/>
  <c r="AP18" i="16"/>
  <c r="AS18" i="16" s="1"/>
  <c r="AP19" i="16"/>
  <c r="AS19" i="16" s="1"/>
  <c r="AQ19" i="16"/>
  <c r="AR19" i="16"/>
  <c r="AP20" i="16"/>
  <c r="AU20" i="16" s="1"/>
  <c r="AQ20" i="16"/>
  <c r="AR20" i="16"/>
  <c r="AT20" i="16"/>
  <c r="AV20" i="16"/>
  <c r="AP21" i="16"/>
  <c r="AU21" i="16" s="1"/>
  <c r="AQ21" i="16"/>
  <c r="AR21" i="16"/>
  <c r="AS21" i="16"/>
  <c r="AT21" i="16"/>
  <c r="AP22" i="16"/>
  <c r="AR22" i="16" s="1"/>
  <c r="AQ22" i="16"/>
  <c r="AS22" i="16"/>
  <c r="AT22" i="16"/>
  <c r="AV22" i="16"/>
  <c r="AP23" i="16"/>
  <c r="AQ23" i="16"/>
  <c r="AR23" i="16"/>
  <c r="AS23" i="16"/>
  <c r="AT23" i="16"/>
  <c r="AU23" i="16"/>
  <c r="AV23" i="16"/>
  <c r="AP24" i="16"/>
  <c r="AQ24" i="16"/>
  <c r="AR24" i="16"/>
  <c r="AS24" i="16"/>
  <c r="AT24" i="16"/>
  <c r="AU24" i="16"/>
  <c r="AV24" i="16"/>
  <c r="AP25" i="16"/>
  <c r="AQ25" i="16"/>
  <c r="AR25" i="16"/>
  <c r="AS25" i="16"/>
  <c r="AT25" i="16"/>
  <c r="AU25" i="16"/>
  <c r="AV25" i="16"/>
  <c r="AP26" i="16"/>
  <c r="AR26" i="16" s="1"/>
  <c r="AQ26" i="16"/>
  <c r="AV6" i="16"/>
  <c r="AU6" i="16"/>
  <c r="AT6" i="16"/>
  <c r="AS6" i="16"/>
  <c r="AR6" i="16"/>
  <c r="AQ6" i="16"/>
  <c r="G3" i="12"/>
  <c r="D3" i="12"/>
  <c r="C3" i="12"/>
  <c r="C9" i="2"/>
  <c r="C8" i="2"/>
  <c r="C34" i="2"/>
  <c r="R6" i="16" a="1"/>
  <c r="R6" i="16" s="1"/>
  <c r="R7" i="16" a="1"/>
  <c r="R7" i="16" s="1"/>
  <c r="R8" i="16" a="1"/>
  <c r="R8" i="16" s="1"/>
  <c r="R9" i="16" a="1"/>
  <c r="R9" i="16" s="1"/>
  <c r="R10" i="16" a="1"/>
  <c r="R10" i="16" s="1"/>
  <c r="R11" i="16" a="1"/>
  <c r="R11" i="16" s="1"/>
  <c r="R12" i="16" a="1"/>
  <c r="R12" i="16"/>
  <c r="R13" i="16" a="1"/>
  <c r="R13" i="16"/>
  <c r="R14" i="16" a="1"/>
  <c r="R14" i="16" s="1"/>
  <c r="R15" i="16" a="1"/>
  <c r="R15" i="16" s="1"/>
  <c r="R16" i="16" a="1"/>
  <c r="R16" i="16" s="1"/>
  <c r="R17" i="16" a="1"/>
  <c r="R17" i="16" s="1"/>
  <c r="R18" i="16" a="1"/>
  <c r="R18" i="16" s="1"/>
  <c r="R19" i="16" a="1"/>
  <c r="R19" i="16" s="1"/>
  <c r="R20" i="16" a="1"/>
  <c r="R20" i="16"/>
  <c r="R21" i="16" a="1"/>
  <c r="R21" i="16"/>
  <c r="R22" i="16" a="1"/>
  <c r="R22" i="16" s="1"/>
  <c r="R23" i="16" a="1"/>
  <c r="R23" i="16" s="1"/>
  <c r="R24" i="16" a="1"/>
  <c r="R24" i="16" s="1"/>
  <c r="R25" i="16" a="1"/>
  <c r="R25" i="16" s="1"/>
  <c r="R26" i="16" a="1"/>
  <c r="R26" i="16" s="1"/>
  <c r="R27" i="16" a="1"/>
  <c r="R27" i="16" s="1"/>
  <c r="R28" i="16" a="1"/>
  <c r="R28" i="16"/>
  <c r="R29" i="16" a="1"/>
  <c r="R29" i="16" s="1"/>
  <c r="R30" i="16" a="1"/>
  <c r="R30" i="16" s="1"/>
  <c r="R31" i="16" a="1"/>
  <c r="R31" i="16" s="1"/>
  <c r="R32" i="16" a="1"/>
  <c r="R32" i="16" s="1"/>
  <c r="R33" i="16" a="1"/>
  <c r="R33" i="16" s="1"/>
  <c r="R34" i="16" a="1"/>
  <c r="R34" i="16" s="1"/>
  <c r="R35" i="16" a="1"/>
  <c r="R35" i="16" s="1"/>
  <c r="R36" i="16" a="1"/>
  <c r="R36" i="16"/>
  <c r="R37" i="16" a="1"/>
  <c r="R37" i="16" s="1"/>
  <c r="R38" i="16" a="1"/>
  <c r="R38" i="16" s="1"/>
  <c r="R39" i="16" a="1"/>
  <c r="R39" i="16" s="1"/>
  <c r="R40" i="16" a="1"/>
  <c r="R40" i="16" s="1"/>
  <c r="R41" i="16" a="1"/>
  <c r="R41" i="16" s="1"/>
  <c r="R42" i="16" a="1"/>
  <c r="R42" i="16" s="1"/>
  <c r="R43" i="16" a="1"/>
  <c r="R43" i="16" s="1"/>
  <c r="R44" i="16" a="1"/>
  <c r="R44" i="16"/>
  <c r="R45" i="16" a="1"/>
  <c r="R45" i="16" s="1"/>
  <c r="R46" i="16" a="1"/>
  <c r="R46" i="16" s="1"/>
  <c r="R47" i="16" a="1"/>
  <c r="R47" i="16" s="1"/>
  <c r="R48" i="16" a="1"/>
  <c r="R48" i="16" s="1"/>
  <c r="R49" i="16" a="1"/>
  <c r="R49" i="16" s="1"/>
  <c r="R50" i="16" a="1"/>
  <c r="R50" i="16" s="1"/>
  <c r="R51" i="16" a="1"/>
  <c r="R51" i="16" s="1"/>
  <c r="R52" i="16" a="1"/>
  <c r="R52" i="16"/>
  <c r="R53" i="16" a="1"/>
  <c r="R53" i="16" s="1"/>
  <c r="R54" i="16" a="1"/>
  <c r="R54" i="16" s="1"/>
  <c r="R55" i="16" a="1"/>
  <c r="R55" i="16" s="1"/>
  <c r="R56" i="16" a="1"/>
  <c r="R56" i="16" s="1"/>
  <c r="R57" i="16" a="1"/>
  <c r="R57" i="16" s="1"/>
  <c r="R58" i="16" a="1"/>
  <c r="R58" i="16" s="1"/>
  <c r="R59" i="16" a="1"/>
  <c r="R59" i="16" s="1"/>
  <c r="R60" i="16" a="1"/>
  <c r="R60" i="16"/>
  <c r="R61" i="16" a="1"/>
  <c r="R61" i="16" s="1"/>
  <c r="R62" i="16" a="1"/>
  <c r="R62" i="16" s="1"/>
  <c r="R63" i="16" a="1"/>
  <c r="R63" i="16" s="1"/>
  <c r="R64" i="16" a="1"/>
  <c r="R64" i="16" s="1"/>
  <c r="R65" i="16" a="1"/>
  <c r="R65" i="16" s="1"/>
  <c r="R66" i="16" a="1"/>
  <c r="R66" i="16" s="1"/>
  <c r="R67" i="16" a="1"/>
  <c r="R67" i="16" s="1"/>
  <c r="R68" i="16" a="1"/>
  <c r="R68" i="16" s="1"/>
  <c r="R5" i="16" a="1"/>
  <c r="R5" i="16" s="1"/>
  <c r="AC5" i="16"/>
  <c r="W10" i="16"/>
  <c r="AC10" i="16" s="1"/>
  <c r="K8" i="16"/>
  <c r="K9" i="16"/>
  <c r="K11" i="16"/>
  <c r="K6" i="16"/>
  <c r="K7" i="16"/>
  <c r="K13" i="16"/>
  <c r="K15" i="16"/>
  <c r="K19" i="16"/>
  <c r="K21" i="16"/>
  <c r="K22" i="16"/>
  <c r="K23" i="16"/>
  <c r="K35" i="16"/>
  <c r="K37" i="16"/>
  <c r="K38" i="16"/>
  <c r="K39" i="16"/>
  <c r="K43" i="16"/>
  <c r="K46" i="16"/>
  <c r="K51" i="16"/>
  <c r="K53" i="16"/>
  <c r="K55" i="16"/>
  <c r="K62" i="16"/>
  <c r="K65" i="16"/>
  <c r="K67" i="16"/>
  <c r="C47" i="16" a="1"/>
  <c r="C47" i="16" s="1"/>
  <c r="W47" i="16" s="1"/>
  <c r="C16" i="16" a="1"/>
  <c r="C16" i="16" s="1"/>
  <c r="W16" i="16" s="1"/>
  <c r="X16" i="16" s="1"/>
  <c r="G9" i="16"/>
  <c r="G10" i="16"/>
  <c r="G16" i="16"/>
  <c r="G17" i="16"/>
  <c r="H17" i="16" s="1"/>
  <c r="G46" i="16"/>
  <c r="G47" i="16"/>
  <c r="H47" i="16" s="1"/>
  <c r="G48" i="16"/>
  <c r="G57" i="16"/>
  <c r="G58" i="16"/>
  <c r="H58" i="16" s="1"/>
  <c r="G21" i="16"/>
  <c r="G23" i="16"/>
  <c r="G24" i="16"/>
  <c r="S25" i="16"/>
  <c r="G25" i="16"/>
  <c r="G26" i="16"/>
  <c r="H26" i="16" s="1"/>
  <c r="G27" i="16"/>
  <c r="S28" i="16"/>
  <c r="S29" i="16"/>
  <c r="G29" i="16"/>
  <c r="S30" i="16"/>
  <c r="G30" i="16"/>
  <c r="S32" i="16"/>
  <c r="S33" i="16"/>
  <c r="S34" i="16"/>
  <c r="S35" i="16"/>
  <c r="G35" i="16"/>
  <c r="G36" i="16"/>
  <c r="S37" i="16"/>
  <c r="G37" i="16"/>
  <c r="G39" i="16"/>
  <c r="G40" i="16"/>
  <c r="S41" i="16"/>
  <c r="G42" i="16"/>
  <c r="S43" i="16"/>
  <c r="S44" i="16"/>
  <c r="G45" i="16"/>
  <c r="S46" i="16"/>
  <c r="S47" i="16"/>
  <c r="S48" i="16"/>
  <c r="S49" i="16"/>
  <c r="S50" i="16"/>
  <c r="G51" i="16"/>
  <c r="S55" i="16"/>
  <c r="G55" i="16"/>
  <c r="S56" i="16"/>
  <c r="G56" i="16"/>
  <c r="S57" i="16"/>
  <c r="S60" i="16"/>
  <c r="S61" i="16"/>
  <c r="G61" i="16"/>
  <c r="S62" i="16"/>
  <c r="G62" i="16"/>
  <c r="S63" i="16"/>
  <c r="G63" i="16"/>
  <c r="S64" i="16"/>
  <c r="G64" i="16"/>
  <c r="S65" i="16"/>
  <c r="G65" i="16"/>
  <c r="S66" i="16"/>
  <c r="G66" i="16"/>
  <c r="S67" i="16"/>
  <c r="G67" i="16"/>
  <c r="G68" i="16"/>
  <c r="G6" i="16"/>
  <c r="G8" i="16"/>
  <c r="S9" i="16"/>
  <c r="S11" i="16"/>
  <c r="G11" i="16"/>
  <c r="S12" i="16"/>
  <c r="G12" i="16"/>
  <c r="S13" i="16"/>
  <c r="S14" i="16"/>
  <c r="G14" i="16"/>
  <c r="S15" i="16"/>
  <c r="G15" i="16"/>
  <c r="S17" i="16"/>
  <c r="S18" i="16"/>
  <c r="S19" i="16"/>
  <c r="G19" i="16"/>
  <c r="S20" i="16"/>
  <c r="G20" i="16"/>
  <c r="S5" i="16"/>
  <c r="C32" i="16" a="1"/>
  <c r="C32" i="16" s="1"/>
  <c r="W32" i="16" s="1"/>
  <c r="X32" i="16" s="1"/>
  <c r="C35" i="16" a="1"/>
  <c r="C35" i="16" s="1"/>
  <c r="W35" i="16" s="1"/>
  <c r="C36" i="16" a="1"/>
  <c r="C36" i="16" s="1"/>
  <c r="W36" i="16" s="1"/>
  <c r="C37" i="16" a="1"/>
  <c r="C37" i="16" s="1"/>
  <c r="W37" i="16" s="1"/>
  <c r="X37" i="16" s="1"/>
  <c r="C42" i="16" a="1"/>
  <c r="C42" i="16" s="1"/>
  <c r="W42" i="16" s="1"/>
  <c r="AC42" i="16" s="1"/>
  <c r="C46" i="16" a="1"/>
  <c r="C46" i="16" s="1"/>
  <c r="W46" i="16" s="1"/>
  <c r="X46" i="16" s="1"/>
  <c r="C48" i="16" a="1"/>
  <c r="C48" i="16" s="1"/>
  <c r="W48" i="16" s="1"/>
  <c r="X48" i="16" s="1"/>
  <c r="C50" i="16" a="1"/>
  <c r="C50" i="16" s="1"/>
  <c r="W50" i="16" s="1"/>
  <c r="C51" i="16" a="1"/>
  <c r="C51" i="16" s="1"/>
  <c r="W51" i="16" s="1"/>
  <c r="C55" i="16" a="1"/>
  <c r="C55" i="16" s="1"/>
  <c r="W55" i="16" s="1"/>
  <c r="X55" i="16" s="1"/>
  <c r="C56" i="16" a="1"/>
  <c r="C56" i="16" s="1"/>
  <c r="W56" i="16" s="1"/>
  <c r="X56" i="16" s="1"/>
  <c r="C57" i="16" a="1"/>
  <c r="C57" i="16" s="1"/>
  <c r="W57" i="16" s="1"/>
  <c r="AH57" i="16" s="1"/>
  <c r="C58" i="16" a="1"/>
  <c r="C58" i="16" s="1"/>
  <c r="W58" i="16" s="1"/>
  <c r="AC58" i="16" s="1"/>
  <c r="C59" i="16" a="1"/>
  <c r="C59" i="16" s="1"/>
  <c r="W59" i="16" s="1"/>
  <c r="AH59" i="16" s="1"/>
  <c r="C60" i="16" a="1"/>
  <c r="C60" i="16" s="1"/>
  <c r="W60" i="16" s="1"/>
  <c r="AK60" i="16" s="1"/>
  <c r="C61" i="16" a="1"/>
  <c r="C61" i="16" s="1"/>
  <c r="W61" i="16" s="1"/>
  <c r="AH61" i="16" s="1"/>
  <c r="C62" i="16" a="1"/>
  <c r="C62" i="16" s="1"/>
  <c r="W62" i="16" s="1"/>
  <c r="AM62" i="16" s="1"/>
  <c r="C63" i="16" a="1"/>
  <c r="C63" i="16" s="1"/>
  <c r="W63" i="16" s="1"/>
  <c r="AH63" i="16" s="1"/>
  <c r="C64" i="16" a="1"/>
  <c r="C64" i="16" s="1"/>
  <c r="W64" i="16" s="1"/>
  <c r="X64" i="16" s="1"/>
  <c r="C65" i="16" a="1"/>
  <c r="C65" i="16" s="1"/>
  <c r="W65" i="16" s="1"/>
  <c r="X65" i="16" s="1"/>
  <c r="C66" i="16" a="1"/>
  <c r="C66" i="16" s="1"/>
  <c r="W66" i="16" s="1"/>
  <c r="AH66" i="16" s="1"/>
  <c r="C67" i="16" a="1"/>
  <c r="C67" i="16" s="1"/>
  <c r="W67" i="16" s="1"/>
  <c r="AI67" i="16" s="1"/>
  <c r="C68" i="16" a="1"/>
  <c r="C68" i="16" s="1"/>
  <c r="W68" i="16" s="1"/>
  <c r="AH68" i="16" s="1"/>
  <c r="C7" i="16" a="1"/>
  <c r="C7" i="16" s="1"/>
  <c r="W7" i="16" s="1"/>
  <c r="C8" i="16" a="1"/>
  <c r="C8" i="16" s="1"/>
  <c r="W8" i="16" s="1"/>
  <c r="X8" i="16" s="1"/>
  <c r="C9" i="16" a="1"/>
  <c r="C9" i="16" s="1"/>
  <c r="W9" i="16" s="1"/>
  <c r="C11" i="16" a="1"/>
  <c r="C11" i="16" s="1"/>
  <c r="W11" i="16" s="1"/>
  <c r="C12" i="16" a="1"/>
  <c r="C12" i="16" s="1"/>
  <c r="W12" i="16" s="1"/>
  <c r="C14" i="16" a="1"/>
  <c r="C14" i="16" s="1"/>
  <c r="W14" i="16" s="1"/>
  <c r="C15" i="16" a="1"/>
  <c r="C15" i="16" s="1"/>
  <c r="W15" i="16" s="1"/>
  <c r="C20" i="16" a="1"/>
  <c r="C20" i="16" s="1"/>
  <c r="W20" i="16" s="1"/>
  <c r="C28" i="16" a="1"/>
  <c r="C28" i="16" s="1"/>
  <c r="W28" i="16" s="1"/>
  <c r="C30" i="16" a="1"/>
  <c r="C30" i="16" s="1"/>
  <c r="W30" i="16" s="1"/>
  <c r="AC30" i="16" s="1"/>
  <c r="C5" i="16" a="1"/>
  <c r="C5" i="16" s="1"/>
  <c r="H2" i="16" l="1"/>
  <c r="AH67" i="16"/>
  <c r="AN64" i="16"/>
  <c r="AL62" i="16"/>
  <c r="AI60" i="16"/>
  <c r="AO57" i="16"/>
  <c r="AO66" i="16"/>
  <c r="AM64" i="16"/>
  <c r="AK62" i="16"/>
  <c r="AH60" i="16"/>
  <c r="AN57" i="16"/>
  <c r="AN66" i="16"/>
  <c r="AL64" i="16"/>
  <c r="AI62" i="16"/>
  <c r="AO59" i="16"/>
  <c r="AM57" i="16"/>
  <c r="F3" i="12"/>
  <c r="AO68" i="16"/>
  <c r="AM66" i="16"/>
  <c r="AK64" i="16"/>
  <c r="AH62" i="16"/>
  <c r="AN59" i="16"/>
  <c r="AL57" i="16"/>
  <c r="AN68" i="16"/>
  <c r="AL66" i="16"/>
  <c r="AI64" i="16"/>
  <c r="AO61" i="16"/>
  <c r="AM59" i="16"/>
  <c r="AK57" i="16"/>
  <c r="AM68" i="16"/>
  <c r="AK66" i="16"/>
  <c r="AH64" i="16"/>
  <c r="AN61" i="16"/>
  <c r="AL59" i="16"/>
  <c r="AI57" i="16"/>
  <c r="AL68" i="16"/>
  <c r="AI66" i="16"/>
  <c r="AO63" i="16"/>
  <c r="AM61" i="16"/>
  <c r="AK59" i="16"/>
  <c r="AK68" i="16"/>
  <c r="AN63" i="16"/>
  <c r="AL61" i="16"/>
  <c r="AI59" i="16"/>
  <c r="AI68" i="16"/>
  <c r="AO65" i="16"/>
  <c r="AM63" i="16"/>
  <c r="AK61" i="16"/>
  <c r="AN65" i="16"/>
  <c r="AL63" i="16"/>
  <c r="AI61" i="16"/>
  <c r="AO58" i="16"/>
  <c r="AO67" i="16"/>
  <c r="AM65" i="16"/>
  <c r="AK63" i="16"/>
  <c r="AN58" i="16"/>
  <c r="AN67" i="16"/>
  <c r="AL65" i="16"/>
  <c r="AI63" i="16"/>
  <c r="AO60" i="16"/>
  <c r="AM58" i="16"/>
  <c r="AM67" i="16"/>
  <c r="AK65" i="16"/>
  <c r="AN60" i="16"/>
  <c r="AL58" i="16"/>
  <c r="AL67" i="16"/>
  <c r="AI65" i="16"/>
  <c r="AO62" i="16"/>
  <c r="AM60" i="16"/>
  <c r="AK58" i="16"/>
  <c r="AK67" i="16"/>
  <c r="AH65" i="16"/>
  <c r="AN62" i="16"/>
  <c r="AL60" i="16"/>
  <c r="AI58" i="16"/>
  <c r="AO64" i="16"/>
  <c r="AH58" i="16"/>
  <c r="AV58" i="16"/>
  <c r="AR54" i="16"/>
  <c r="AV42" i="16"/>
  <c r="AR38" i="16"/>
  <c r="AV67" i="16"/>
  <c r="AR63" i="16"/>
  <c r="AU58" i="16"/>
  <c r="AQ54" i="16"/>
  <c r="AV51" i="16"/>
  <c r="AR47" i="16"/>
  <c r="AU42" i="16"/>
  <c r="AQ38" i="16"/>
  <c r="AV35" i="16"/>
  <c r="AR31" i="16"/>
  <c r="AS58" i="16"/>
  <c r="AS67" i="16"/>
  <c r="AV62" i="16"/>
  <c r="AR58" i="16"/>
  <c r="AU53" i="16"/>
  <c r="AS51" i="16"/>
  <c r="AV46" i="16"/>
  <c r="AR42" i="16"/>
  <c r="AU37" i="16"/>
  <c r="AS35" i="16"/>
  <c r="AV30" i="16"/>
  <c r="AS42" i="16"/>
  <c r="AU62" i="16"/>
  <c r="AV55" i="16"/>
  <c r="AT53" i="16"/>
  <c r="AU46" i="16"/>
  <c r="AV39" i="16"/>
  <c r="AT37" i="16"/>
  <c r="AU30" i="16"/>
  <c r="AV66" i="16"/>
  <c r="AT64" i="16"/>
  <c r="AR62" i="16"/>
  <c r="AS55" i="16"/>
  <c r="AV50" i="16"/>
  <c r="AT48" i="16"/>
  <c r="AS39" i="16"/>
  <c r="AV34" i="16"/>
  <c r="AT32" i="16"/>
  <c r="AR30" i="16"/>
  <c r="AU39" i="16"/>
  <c r="AU64" i="16"/>
  <c r="AU48" i="16"/>
  <c r="AU66" i="16"/>
  <c r="AS64" i="16"/>
  <c r="AV59" i="16"/>
  <c r="AR55" i="16"/>
  <c r="AU50" i="16"/>
  <c r="AS48" i="16"/>
  <c r="AV43" i="16"/>
  <c r="AR39" i="16"/>
  <c r="AU34" i="16"/>
  <c r="AS32" i="16"/>
  <c r="AV27" i="16"/>
  <c r="AU55" i="16"/>
  <c r="AT55" i="16"/>
  <c r="AT39" i="16"/>
  <c r="AU32" i="16"/>
  <c r="AV68" i="16"/>
  <c r="AT66" i="16"/>
  <c r="AU59" i="16"/>
  <c r="AV52" i="16"/>
  <c r="AT50" i="16"/>
  <c r="AU43" i="16"/>
  <c r="AV36" i="16"/>
  <c r="AT34" i="16"/>
  <c r="AU27" i="16"/>
  <c r="AS66" i="16"/>
  <c r="AS50" i="16"/>
  <c r="AS34" i="16"/>
  <c r="AR66" i="16"/>
  <c r="AS59" i="16"/>
  <c r="AV54" i="16"/>
  <c r="AT52" i="16"/>
  <c r="AR50" i="16"/>
  <c r="AS43" i="16"/>
  <c r="AV38" i="16"/>
  <c r="AR34" i="16"/>
  <c r="AS27" i="16"/>
  <c r="AR18" i="16"/>
  <c r="AU13" i="16"/>
  <c r="AU22" i="16"/>
  <c r="AS20" i="16"/>
  <c r="AQ18" i="16"/>
  <c r="AT13" i="16"/>
  <c r="AR11" i="16"/>
  <c r="AV17" i="16"/>
  <c r="AR13" i="16"/>
  <c r="AV26" i="16"/>
  <c r="AU17" i="16"/>
  <c r="AQ13" i="16"/>
  <c r="AV10" i="16"/>
  <c r="AU26" i="16"/>
  <c r="AT17" i="16"/>
  <c r="AU10" i="16"/>
  <c r="AT26" i="16"/>
  <c r="AU19" i="16"/>
  <c r="AV12" i="16"/>
  <c r="AT10" i="16"/>
  <c r="AS26" i="16"/>
  <c r="AV21" i="16"/>
  <c r="AT19" i="16"/>
  <c r="AR17" i="16"/>
  <c r="AU12" i="16"/>
  <c r="AS10" i="16"/>
  <c r="AV19" i="16"/>
  <c r="AS17" i="16"/>
  <c r="AV14" i="16"/>
  <c r="AV18" i="16"/>
  <c r="AR14" i="16"/>
  <c r="AU18" i="16"/>
  <c r="AS16" i="16"/>
  <c r="AV11" i="16"/>
  <c r="AT18" i="16"/>
  <c r="AU11" i="16"/>
  <c r="AA37" i="16"/>
  <c r="AA68" i="16"/>
  <c r="AA14" i="16"/>
  <c r="AA64" i="16"/>
  <c r="AA63" i="16"/>
  <c r="AA48" i="16"/>
  <c r="AA30" i="16"/>
  <c r="AA62" i="16"/>
  <c r="AA29" i="16"/>
  <c r="AA23" i="16"/>
  <c r="AA39" i="16"/>
  <c r="AA45" i="16"/>
  <c r="AA27" i="16"/>
  <c r="AA61" i="16"/>
  <c r="AA16" i="16"/>
  <c r="AA19" i="16"/>
  <c r="T58" i="16"/>
  <c r="AC20" i="16"/>
  <c r="AC35" i="16"/>
  <c r="AA21" i="16"/>
  <c r="H21" i="16"/>
  <c r="H48" i="16"/>
  <c r="P48" i="16" s="1"/>
  <c r="K54" i="16"/>
  <c r="K30" i="16"/>
  <c r="K14" i="16"/>
  <c r="X68" i="16"/>
  <c r="AC51" i="16"/>
  <c r="G54" i="16"/>
  <c r="AA54" i="16" s="1"/>
  <c r="K20" i="16"/>
  <c r="S7" i="16"/>
  <c r="G59" i="16"/>
  <c r="T59" i="16" s="1"/>
  <c r="S54" i="16"/>
  <c r="G43" i="16"/>
  <c r="T43" i="16" s="1"/>
  <c r="U43" i="16" s="1"/>
  <c r="S38" i="16"/>
  <c r="S22" i="16"/>
  <c r="S52" i="16"/>
  <c r="AC48" i="16"/>
  <c r="C38" i="16" a="1"/>
  <c r="C38" i="16" s="1"/>
  <c r="W38" i="16" s="1"/>
  <c r="X38" i="16" s="1"/>
  <c r="C17" i="16" a="1"/>
  <c r="C17" i="16" s="1"/>
  <c r="W17" i="16" s="1"/>
  <c r="X17" i="16" s="1"/>
  <c r="K60" i="16"/>
  <c r="K12" i="16"/>
  <c r="G53" i="16"/>
  <c r="AA53" i="16" s="1"/>
  <c r="G32" i="16"/>
  <c r="AA32" i="16" s="1"/>
  <c r="H27" i="16"/>
  <c r="AB27" i="16" s="1"/>
  <c r="H37" i="16"/>
  <c r="AD37" i="16" s="1"/>
  <c r="AF37" i="16" s="1"/>
  <c r="K59" i="16"/>
  <c r="AC47" i="16"/>
  <c r="AA47" i="16"/>
  <c r="S27" i="16"/>
  <c r="AA46" i="16"/>
  <c r="K36" i="16"/>
  <c r="S6" i="16"/>
  <c r="K42" i="16"/>
  <c r="G22" i="16"/>
  <c r="AA22" i="16" s="1"/>
  <c r="K44" i="16"/>
  <c r="S58" i="16"/>
  <c r="G52" i="16"/>
  <c r="AA52" i="16" s="1"/>
  <c r="S42" i="16"/>
  <c r="G31" i="16"/>
  <c r="AA31" i="16" s="1"/>
  <c r="S26" i="16"/>
  <c r="K57" i="16"/>
  <c r="K49" i="16"/>
  <c r="K41" i="16"/>
  <c r="K33" i="16"/>
  <c r="K25" i="16"/>
  <c r="K17" i="16"/>
  <c r="G38" i="16"/>
  <c r="AA38" i="16" s="1"/>
  <c r="K68" i="16"/>
  <c r="K28" i="16"/>
  <c r="H64" i="16"/>
  <c r="S31" i="16"/>
  <c r="C53" i="16" a="1"/>
  <c r="C53" i="16" s="1"/>
  <c r="W53" i="16" s="1"/>
  <c r="X53" i="16" s="1"/>
  <c r="G28" i="16"/>
  <c r="H28" i="16" s="1"/>
  <c r="G7" i="16"/>
  <c r="AA7" i="16" s="1"/>
  <c r="K52" i="16"/>
  <c r="G5" i="16"/>
  <c r="T5" i="16" s="1"/>
  <c r="U5" i="16" s="1"/>
  <c r="G41" i="16"/>
  <c r="H41" i="16" s="1"/>
  <c r="H36" i="16"/>
  <c r="AB36" i="16" s="1"/>
  <c r="K64" i="16"/>
  <c r="K56" i="16"/>
  <c r="K48" i="16"/>
  <c r="K40" i="16"/>
  <c r="K32" i="16"/>
  <c r="K24" i="16"/>
  <c r="K16" i="16"/>
  <c r="K5" i="16"/>
  <c r="S10" i="16"/>
  <c r="C23" i="16" a="1"/>
  <c r="C23" i="16" s="1"/>
  <c r="W23" i="16" s="1"/>
  <c r="X23" i="16" s="1"/>
  <c r="AA20" i="16"/>
  <c r="AA67" i="16"/>
  <c r="AA51" i="16"/>
  <c r="AA35" i="16"/>
  <c r="K63" i="16"/>
  <c r="K47" i="16"/>
  <c r="K31" i="16"/>
  <c r="AA56" i="16"/>
  <c r="AA40" i="16"/>
  <c r="AA24" i="16"/>
  <c r="AB58" i="16"/>
  <c r="H8" i="16"/>
  <c r="AA8" i="16"/>
  <c r="AA55" i="16"/>
  <c r="H55" i="16"/>
  <c r="C25" i="16" a="1"/>
  <c r="C25" i="16" s="1"/>
  <c r="W25" i="16" s="1"/>
  <c r="AC25" i="16" s="1"/>
  <c r="X9" i="16"/>
  <c r="AC9" i="16"/>
  <c r="C40" i="16" a="1"/>
  <c r="C40" i="16" s="1"/>
  <c r="W40" i="16" s="1"/>
  <c r="S40" i="16"/>
  <c r="H40" i="16"/>
  <c r="S24" i="16"/>
  <c r="H24" i="16"/>
  <c r="C24" i="16" a="1"/>
  <c r="C24" i="16" s="1"/>
  <c r="W24" i="16" s="1"/>
  <c r="AC24" i="16" s="1"/>
  <c r="C39" i="16" a="1"/>
  <c r="C39" i="16" s="1"/>
  <c r="W39" i="16" s="1"/>
  <c r="X39" i="16" s="1"/>
  <c r="G50" i="16"/>
  <c r="H45" i="16"/>
  <c r="G34" i="16"/>
  <c r="T34" i="16" s="1"/>
  <c r="U34" i="16" s="1"/>
  <c r="H56" i="16"/>
  <c r="T19" i="16"/>
  <c r="U19" i="16" s="1"/>
  <c r="G60" i="16"/>
  <c r="AA60" i="16" s="1"/>
  <c r="C22" i="16" a="1"/>
  <c r="C22" i="16" s="1"/>
  <c r="W22" i="16" s="1"/>
  <c r="X22" i="16" s="1"/>
  <c r="H65" i="16"/>
  <c r="T65" i="16"/>
  <c r="U65" i="16" s="1"/>
  <c r="AA65" i="16"/>
  <c r="S39" i="16"/>
  <c r="H39" i="16"/>
  <c r="X12" i="16"/>
  <c r="AC12" i="16"/>
  <c r="G18" i="16"/>
  <c r="T18" i="16" s="1"/>
  <c r="U18" i="16" s="1"/>
  <c r="G49" i="16"/>
  <c r="G33" i="16"/>
  <c r="H12" i="16"/>
  <c r="AA12" i="16"/>
  <c r="G44" i="16"/>
  <c r="T44" i="16" s="1"/>
  <c r="U44" i="16" s="1"/>
  <c r="H20" i="16"/>
  <c r="X14" i="16"/>
  <c r="AC14" i="16"/>
  <c r="C52" i="16" a="1"/>
  <c r="C52" i="16" s="1"/>
  <c r="W52" i="16" s="1"/>
  <c r="X52" i="16" s="1"/>
  <c r="C18" i="16" a="1"/>
  <c r="C18" i="16" s="1"/>
  <c r="W18" i="16" s="1"/>
  <c r="X18" i="16" s="1"/>
  <c r="C6" i="16" a="1"/>
  <c r="C6" i="16" s="1"/>
  <c r="W6" i="16" s="1"/>
  <c r="AC6" i="16" s="1"/>
  <c r="C49" i="16" a="1"/>
  <c r="C49" i="16" s="1"/>
  <c r="W49" i="16" s="1"/>
  <c r="X49" i="16" s="1"/>
  <c r="C54" i="16" a="1"/>
  <c r="C54" i="16" s="1"/>
  <c r="W54" i="16" s="1"/>
  <c r="X54" i="16" s="1"/>
  <c r="S8" i="16"/>
  <c r="S23" i="16"/>
  <c r="H23" i="16"/>
  <c r="C19" i="16" a="1"/>
  <c r="C19" i="16" s="1"/>
  <c r="W19" i="16" s="1"/>
  <c r="AC19" i="16" s="1"/>
  <c r="X50" i="16"/>
  <c r="AC50" i="16"/>
  <c r="P47" i="16"/>
  <c r="AD47" i="16"/>
  <c r="AB47" i="16"/>
  <c r="C33" i="16" a="1"/>
  <c r="C33" i="16" s="1"/>
  <c r="W33" i="16" s="1"/>
  <c r="X33" i="16" s="1"/>
  <c r="H19" i="16"/>
  <c r="H6" i="16"/>
  <c r="AA6" i="16"/>
  <c r="H42" i="16"/>
  <c r="AA42" i="16"/>
  <c r="H46" i="16"/>
  <c r="K66" i="16"/>
  <c r="K58" i="16"/>
  <c r="K50" i="16"/>
  <c r="K34" i="16"/>
  <c r="K18" i="16"/>
  <c r="K10" i="16"/>
  <c r="X7" i="16"/>
  <c r="AC7" i="16"/>
  <c r="G13" i="16"/>
  <c r="AA13" i="16" s="1"/>
  <c r="C34" i="16" a="1"/>
  <c r="C34" i="16" s="1"/>
  <c r="W34" i="16" s="1"/>
  <c r="X34" i="16" s="1"/>
  <c r="AA43" i="16"/>
  <c r="T27" i="16"/>
  <c r="J13" i="9"/>
  <c r="X62" i="16"/>
  <c r="AC62" i="16"/>
  <c r="H66" i="16"/>
  <c r="AA66" i="16"/>
  <c r="X61" i="16"/>
  <c r="AC61" i="16"/>
  <c r="AA11" i="16"/>
  <c r="H11" i="16"/>
  <c r="C29" i="16" a="1"/>
  <c r="C29" i="16" s="1"/>
  <c r="W29" i="16" s="1"/>
  <c r="C45" i="16" a="1"/>
  <c r="C45" i="16" s="1"/>
  <c r="W45" i="16" s="1"/>
  <c r="C13" i="16" a="1"/>
  <c r="C13" i="16" s="1"/>
  <c r="W13" i="16" s="1"/>
  <c r="X13" i="16" s="1"/>
  <c r="X60" i="16"/>
  <c r="AC60" i="16"/>
  <c r="C44" i="16" a="1"/>
  <c r="C44" i="16" s="1"/>
  <c r="W44" i="16" s="1"/>
  <c r="H5" i="16"/>
  <c r="AA5" i="16"/>
  <c r="H68" i="16"/>
  <c r="AC28" i="16"/>
  <c r="X28" i="16"/>
  <c r="X59" i="16"/>
  <c r="AC59" i="16"/>
  <c r="C43" i="16" a="1"/>
  <c r="C43" i="16" s="1"/>
  <c r="W43" i="16" s="1"/>
  <c r="AA15" i="16"/>
  <c r="T15" i="16"/>
  <c r="U15" i="16" s="1"/>
  <c r="H9" i="16"/>
  <c r="AA9" i="16"/>
  <c r="T64" i="16"/>
  <c r="U64" i="16" s="1"/>
  <c r="Y64" i="16" s="1"/>
  <c r="C27" i="16" a="1"/>
  <c r="C27" i="16" s="1"/>
  <c r="W27" i="16" s="1"/>
  <c r="X27" i="16" s="1"/>
  <c r="X11" i="16"/>
  <c r="AC11" i="16"/>
  <c r="C26" i="16" a="1"/>
  <c r="C26" i="16" s="1"/>
  <c r="W26" i="16" s="1"/>
  <c r="C41" i="16" a="1"/>
  <c r="C41" i="16" s="1"/>
  <c r="W41" i="16" s="1"/>
  <c r="AC41" i="16" s="1"/>
  <c r="H51" i="16"/>
  <c r="H29" i="16"/>
  <c r="S45" i="16"/>
  <c r="U27" i="16"/>
  <c r="AC65" i="16"/>
  <c r="AC17" i="16"/>
  <c r="C21" i="16" a="1"/>
  <c r="C21" i="16" s="1"/>
  <c r="W21" i="16" s="1"/>
  <c r="X21" i="16" s="1"/>
  <c r="H63" i="16"/>
  <c r="H7" i="16"/>
  <c r="T20" i="16"/>
  <c r="U20" i="16" s="1"/>
  <c r="S68" i="16"/>
  <c r="T45" i="16"/>
  <c r="T37" i="16"/>
  <c r="U37" i="16" s="1"/>
  <c r="Y37" i="16" s="1"/>
  <c r="AC64" i="16"/>
  <c r="AC32" i="16"/>
  <c r="AC16" i="16"/>
  <c r="AA17" i="16"/>
  <c r="AA26" i="16"/>
  <c r="T12" i="16"/>
  <c r="U12" i="16" s="1"/>
  <c r="X63" i="16"/>
  <c r="X15" i="16"/>
  <c r="H62" i="16"/>
  <c r="H35" i="16"/>
  <c r="AD26" i="16"/>
  <c r="AB26" i="16"/>
  <c r="H16" i="16"/>
  <c r="T35" i="16"/>
  <c r="U35" i="16" s="1"/>
  <c r="AC46" i="16"/>
  <c r="X30" i="16"/>
  <c r="AA58" i="16"/>
  <c r="X47" i="16"/>
  <c r="S59" i="16"/>
  <c r="S51" i="16"/>
  <c r="T26" i="16"/>
  <c r="AC13" i="16"/>
  <c r="H61" i="16"/>
  <c r="H43" i="16"/>
  <c r="H15" i="16"/>
  <c r="T11" i="16"/>
  <c r="U11" i="16" s="1"/>
  <c r="T66" i="16"/>
  <c r="U66" i="16" s="1"/>
  <c r="T51" i="16"/>
  <c r="H25" i="16"/>
  <c r="AA25" i="16"/>
  <c r="C31" i="16" a="1"/>
  <c r="C31" i="16" s="1"/>
  <c r="W31" i="16" s="1"/>
  <c r="X31" i="16" s="1"/>
  <c r="S53" i="16"/>
  <c r="S21" i="16"/>
  <c r="P58" i="16"/>
  <c r="AA36" i="16"/>
  <c r="H14" i="16"/>
  <c r="T16" i="16"/>
  <c r="T42" i="16"/>
  <c r="X58" i="16"/>
  <c r="X42" i="16"/>
  <c r="AC63" i="16"/>
  <c r="S16" i="16"/>
  <c r="K61" i="16"/>
  <c r="K45" i="16"/>
  <c r="K29" i="16"/>
  <c r="T50" i="16"/>
  <c r="U50" i="16" s="1"/>
  <c r="X57" i="16"/>
  <c r="J3" i="12" s="1"/>
  <c r="AC15" i="16"/>
  <c r="S36" i="16"/>
  <c r="T9" i="16"/>
  <c r="U9" i="16" s="1"/>
  <c r="T41" i="16"/>
  <c r="U41" i="16" s="1"/>
  <c r="AC56" i="16"/>
  <c r="AC8" i="16"/>
  <c r="AD17" i="16"/>
  <c r="AB17" i="16"/>
  <c r="P17" i="16"/>
  <c r="AC55" i="16"/>
  <c r="H67" i="16"/>
  <c r="AD58" i="16"/>
  <c r="H30" i="16"/>
  <c r="T8" i="16"/>
  <c r="T57" i="16"/>
  <c r="T48" i="16"/>
  <c r="U48" i="16" s="1"/>
  <c r="Y48" i="16" s="1"/>
  <c r="T40" i="16"/>
  <c r="T21" i="16"/>
  <c r="H57" i="16"/>
  <c r="AA57" i="16"/>
  <c r="K27" i="16"/>
  <c r="AC53" i="16"/>
  <c r="AC37" i="16"/>
  <c r="T7" i="16"/>
  <c r="U7" i="16" s="1"/>
  <c r="T14" i="16"/>
  <c r="U14" i="16" s="1"/>
  <c r="T47" i="16"/>
  <c r="U47" i="16" s="1"/>
  <c r="T39" i="16"/>
  <c r="U39" i="16" s="1"/>
  <c r="T30" i="16"/>
  <c r="U30" i="16" s="1"/>
  <c r="AC68" i="16"/>
  <c r="AC36" i="16"/>
  <c r="X36" i="16"/>
  <c r="X20" i="16"/>
  <c r="H10" i="16"/>
  <c r="AA10" i="16"/>
  <c r="K26" i="16"/>
  <c r="T63" i="16"/>
  <c r="U63" i="16" s="1"/>
  <c r="T29" i="16"/>
  <c r="U29" i="16" s="1"/>
  <c r="AC67" i="16"/>
  <c r="X67" i="16"/>
  <c r="X51" i="16"/>
  <c r="X35" i="16"/>
  <c r="T6" i="16"/>
  <c r="T46" i="16"/>
  <c r="U46" i="16" s="1"/>
  <c r="Z46" i="16" s="1"/>
  <c r="T28" i="16"/>
  <c r="U28" i="16" s="1"/>
  <c r="X66" i="16"/>
  <c r="AC66" i="16"/>
  <c r="AC18" i="16"/>
  <c r="T10" i="16"/>
  <c r="U10" i="16" s="1"/>
  <c r="T68" i="16"/>
  <c r="T62" i="16"/>
  <c r="U62" i="16" s="1"/>
  <c r="T56" i="16"/>
  <c r="U56" i="16" s="1"/>
  <c r="T25" i="16"/>
  <c r="U25" i="16" s="1"/>
  <c r="AC57" i="16"/>
  <c r="T36" i="16"/>
  <c r="T67" i="16"/>
  <c r="U67" i="16" s="1"/>
  <c r="T61" i="16"/>
  <c r="U61" i="16" s="1"/>
  <c r="T55" i="16"/>
  <c r="U55" i="16" s="1"/>
  <c r="Y55" i="16" s="1"/>
  <c r="T24" i="16"/>
  <c r="T17" i="16"/>
  <c r="U17" i="16" s="1"/>
  <c r="X10" i="16"/>
  <c r="T54" i="16"/>
  <c r="U54" i="16" s="1"/>
  <c r="T23" i="16"/>
  <c r="U23" i="16" s="1"/>
  <c r="AP57" i="16" l="1"/>
  <c r="E3" i="12"/>
  <c r="U57" i="16"/>
  <c r="I3" i="12" s="1"/>
  <c r="H3" i="12"/>
  <c r="L3" i="12" a="1"/>
  <c r="L3" i="12" s="1"/>
  <c r="Z62" i="16"/>
  <c r="AA28" i="16"/>
  <c r="AB48" i="16"/>
  <c r="AE48" i="16" s="1"/>
  <c r="AD27" i="16"/>
  <c r="AC52" i="16"/>
  <c r="T38" i="16"/>
  <c r="U38" i="16" s="1"/>
  <c r="Z38" i="16" s="1"/>
  <c r="AD36" i="16"/>
  <c r="AG36" i="16" s="1"/>
  <c r="Z10" i="16"/>
  <c r="H22" i="16"/>
  <c r="P37" i="16"/>
  <c r="AB37" i="16"/>
  <c r="AE37" i="16" s="1"/>
  <c r="H59" i="16"/>
  <c r="AC22" i="16"/>
  <c r="AC49" i="16"/>
  <c r="AG27" i="16"/>
  <c r="U8" i="16"/>
  <c r="Y8" i="16" s="1"/>
  <c r="AC38" i="16"/>
  <c r="U58" i="16"/>
  <c r="Y58" i="16" s="1"/>
  <c r="P36" i="16"/>
  <c r="AB64" i="16"/>
  <c r="AE64" i="16" s="1"/>
  <c r="U40" i="16"/>
  <c r="Y10" i="16"/>
  <c r="Z67" i="16"/>
  <c r="Z7" i="16"/>
  <c r="Z11" i="16"/>
  <c r="Z15" i="16"/>
  <c r="Z48" i="16"/>
  <c r="Y23" i="16"/>
  <c r="U42" i="16"/>
  <c r="Z42" i="16" s="1"/>
  <c r="S2" i="16"/>
  <c r="U2" i="16" s="1"/>
  <c r="T60" i="16"/>
  <c r="U60" i="16" s="1"/>
  <c r="Z60" i="16" s="1"/>
  <c r="Z50" i="16"/>
  <c r="T22" i="16"/>
  <c r="U22" i="16" s="1"/>
  <c r="Y22" i="16" s="1"/>
  <c r="H32" i="16"/>
  <c r="P32" i="16" s="1"/>
  <c r="T32" i="16"/>
  <c r="U32" i="16" s="1"/>
  <c r="Y32" i="16" s="1"/>
  <c r="T52" i="16"/>
  <c r="U52" i="16" s="1"/>
  <c r="Y52" i="16" s="1"/>
  <c r="T53" i="16"/>
  <c r="U53" i="16" s="1"/>
  <c r="Y53" i="16" s="1"/>
  <c r="Z64" i="16"/>
  <c r="H53" i="16"/>
  <c r="AD53" i="16" s="1"/>
  <c r="AF53" i="16" s="1"/>
  <c r="AA59" i="16"/>
  <c r="AD48" i="16"/>
  <c r="AF48" i="16" s="1"/>
  <c r="Z55" i="16"/>
  <c r="AB21" i="16"/>
  <c r="AE21" i="16" s="1"/>
  <c r="U51" i="16"/>
  <c r="Z51" i="16" s="1"/>
  <c r="H52" i="16"/>
  <c r="AD52" i="16" s="1"/>
  <c r="AF52" i="16" s="1"/>
  <c r="AD21" i="16"/>
  <c r="AF21" i="16" s="1"/>
  <c r="Z39" i="16"/>
  <c r="Y11" i="16"/>
  <c r="Y50" i="16"/>
  <c r="X25" i="16"/>
  <c r="Z25" i="16" s="1"/>
  <c r="Z30" i="16"/>
  <c r="AF58" i="16"/>
  <c r="Z56" i="16"/>
  <c r="Y56" i="16"/>
  <c r="AC54" i="16"/>
  <c r="H54" i="16"/>
  <c r="P54" i="16" s="1"/>
  <c r="U21" i="16"/>
  <c r="Z21" i="16" s="1"/>
  <c r="H13" i="16"/>
  <c r="AD13" i="16" s="1"/>
  <c r="AF13" i="16" s="1"/>
  <c r="T31" i="16"/>
  <c r="U31" i="16" s="1"/>
  <c r="Y31" i="16" s="1"/>
  <c r="H38" i="16"/>
  <c r="U45" i="16"/>
  <c r="T13" i="16"/>
  <c r="U13" i="16" s="1"/>
  <c r="Y13" i="16" s="1"/>
  <c r="F2" i="11"/>
  <c r="AF17" i="16"/>
  <c r="I2" i="11"/>
  <c r="U26" i="16"/>
  <c r="H31" i="16"/>
  <c r="P31" i="16" s="1"/>
  <c r="Z23" i="16"/>
  <c r="X19" i="16"/>
  <c r="Z19" i="16" s="1"/>
  <c r="D2" i="11"/>
  <c r="Y35" i="16"/>
  <c r="AC21" i="16"/>
  <c r="AA41" i="16"/>
  <c r="Y34" i="16"/>
  <c r="AC23" i="16"/>
  <c r="AE27" i="16"/>
  <c r="AG47" i="16"/>
  <c r="Z14" i="16"/>
  <c r="AD64" i="16"/>
  <c r="AF64" i="16" s="1"/>
  <c r="G2" i="11"/>
  <c r="P64" i="16"/>
  <c r="U6" i="16"/>
  <c r="Y12" i="16"/>
  <c r="Z12" i="16"/>
  <c r="Z34" i="16"/>
  <c r="Y54" i="16"/>
  <c r="Z54" i="16"/>
  <c r="Y65" i="16"/>
  <c r="Z65" i="16"/>
  <c r="Z35" i="16"/>
  <c r="Y51" i="16"/>
  <c r="X41" i="16"/>
  <c r="AB43" i="16"/>
  <c r="AD43" i="16"/>
  <c r="P43" i="16"/>
  <c r="P35" i="16"/>
  <c r="AD35" i="16"/>
  <c r="AF35" i="16" s="1"/>
  <c r="AB35" i="16"/>
  <c r="AE35" i="16" s="1"/>
  <c r="Z17" i="16"/>
  <c r="Y17" i="16"/>
  <c r="AD41" i="16"/>
  <c r="AB41" i="16"/>
  <c r="P41" i="16"/>
  <c r="AB11" i="16"/>
  <c r="AE11" i="16" s="1"/>
  <c r="AD11" i="16"/>
  <c r="AF11" i="16" s="1"/>
  <c r="P11" i="16"/>
  <c r="AD40" i="16"/>
  <c r="P40" i="16"/>
  <c r="AB40" i="16"/>
  <c r="AE58" i="16"/>
  <c r="Y67" i="16"/>
  <c r="AB30" i="16"/>
  <c r="P30" i="16"/>
  <c r="AD30" i="16"/>
  <c r="AF30" i="16" s="1"/>
  <c r="H60" i="16"/>
  <c r="AD61" i="16"/>
  <c r="AF61" i="16" s="1"/>
  <c r="AB61" i="16"/>
  <c r="P61" i="16"/>
  <c r="P62" i="16"/>
  <c r="AB62" i="16"/>
  <c r="AD62" i="16"/>
  <c r="AF62" i="16" s="1"/>
  <c r="AD66" i="16"/>
  <c r="AF66" i="16" s="1"/>
  <c r="AB66" i="16"/>
  <c r="AG66" i="16" s="1"/>
  <c r="P66" i="16"/>
  <c r="Y7" i="16"/>
  <c r="AD9" i="16"/>
  <c r="AF9" i="16" s="1"/>
  <c r="P9" i="16"/>
  <c r="AB9" i="16"/>
  <c r="AE9" i="16" s="1"/>
  <c r="AD68" i="16"/>
  <c r="AF68" i="16" s="1"/>
  <c r="AB68" i="16"/>
  <c r="P68" i="16"/>
  <c r="AE17" i="16"/>
  <c r="U68" i="16"/>
  <c r="AC39" i="16"/>
  <c r="T2" i="16"/>
  <c r="Y14" i="16"/>
  <c r="H33" i="16"/>
  <c r="T33" i="16"/>
  <c r="U33" i="16" s="1"/>
  <c r="AA33" i="16"/>
  <c r="X6" i="16"/>
  <c r="X40" i="16"/>
  <c r="AC40" i="16"/>
  <c r="AD67" i="16"/>
  <c r="AF67" i="16" s="1"/>
  <c r="AB67" i="16"/>
  <c r="P67" i="16"/>
  <c r="AB7" i="16"/>
  <c r="P7" i="16"/>
  <c r="AD7" i="16"/>
  <c r="AF7" i="16" s="1"/>
  <c r="AD20" i="16"/>
  <c r="AF20" i="16" s="1"/>
  <c r="AB20" i="16"/>
  <c r="P20" i="16"/>
  <c r="H49" i="16"/>
  <c r="AA49" i="16"/>
  <c r="T49" i="16"/>
  <c r="U49" i="16" s="1"/>
  <c r="Y66" i="16"/>
  <c r="Z66" i="16"/>
  <c r="Y46" i="16"/>
  <c r="Y27" i="16"/>
  <c r="Z18" i="16"/>
  <c r="U36" i="16"/>
  <c r="Y36" i="16" s="1"/>
  <c r="P26" i="16"/>
  <c r="AD5" i="16"/>
  <c r="AB5" i="16"/>
  <c r="AE5" i="16" s="1"/>
  <c r="P5" i="16"/>
  <c r="P19" i="16"/>
  <c r="AD19" i="16"/>
  <c r="AB19" i="16"/>
  <c r="AA44" i="16"/>
  <c r="H44" i="16"/>
  <c r="H18" i="16"/>
  <c r="AA18" i="16"/>
  <c r="Z5" i="16"/>
  <c r="Y5" i="16"/>
  <c r="Z27" i="16"/>
  <c r="Y18" i="16"/>
  <c r="AB25" i="16"/>
  <c r="P25" i="16"/>
  <c r="AD25" i="16"/>
  <c r="AG48" i="16"/>
  <c r="P63" i="16"/>
  <c r="AD63" i="16"/>
  <c r="AF63" i="16" s="1"/>
  <c r="AB63" i="16"/>
  <c r="P29" i="16"/>
  <c r="AD29" i="16"/>
  <c r="AB29" i="16"/>
  <c r="X43" i="16"/>
  <c r="AC43" i="16"/>
  <c r="AC44" i="16"/>
  <c r="X44" i="16"/>
  <c r="Y62" i="16"/>
  <c r="AC33" i="16"/>
  <c r="AD56" i="16"/>
  <c r="AF56" i="16" s="1"/>
  <c r="AB56" i="16"/>
  <c r="P56" i="16"/>
  <c r="AG58" i="16"/>
  <c r="P27" i="16"/>
  <c r="AD23" i="16"/>
  <c r="AF23" i="16" s="1"/>
  <c r="AB23" i="16"/>
  <c r="P23" i="16"/>
  <c r="H34" i="16"/>
  <c r="AA34" i="16"/>
  <c r="Y9" i="16"/>
  <c r="Z9" i="16"/>
  <c r="AF47" i="16"/>
  <c r="Y47" i="16"/>
  <c r="Z47" i="16"/>
  <c r="X24" i="16"/>
  <c r="U16" i="16"/>
  <c r="U59" i="16"/>
  <c r="AB51" i="16"/>
  <c r="AE51" i="16" s="1"/>
  <c r="P51" i="16"/>
  <c r="AD51" i="16"/>
  <c r="AF51" i="16" s="1"/>
  <c r="P46" i="16"/>
  <c r="AD46" i="16"/>
  <c r="AF46" i="16" s="1"/>
  <c r="AB46" i="16"/>
  <c r="AD45" i="16"/>
  <c r="AB45" i="16"/>
  <c r="P45" i="16"/>
  <c r="Y20" i="16"/>
  <c r="Z20" i="16"/>
  <c r="AD57" i="16"/>
  <c r="AB57" i="16"/>
  <c r="K3" i="12" s="1" a="1"/>
  <c r="K3" i="12" s="1"/>
  <c r="P57" i="16"/>
  <c r="AC31" i="16"/>
  <c r="AC27" i="16"/>
  <c r="P21" i="16"/>
  <c r="Y30" i="16"/>
  <c r="Z28" i="16"/>
  <c r="Y28" i="16"/>
  <c r="AF27" i="16"/>
  <c r="AD39" i="16"/>
  <c r="AF39" i="16" s="1"/>
  <c r="AB39" i="16"/>
  <c r="P39" i="16"/>
  <c r="H50" i="16"/>
  <c r="AA50" i="16"/>
  <c r="AD28" i="16"/>
  <c r="AF28" i="16" s="1"/>
  <c r="AB28" i="16"/>
  <c r="P28" i="16"/>
  <c r="H2" i="11"/>
  <c r="AE36" i="16"/>
  <c r="AF36" i="16"/>
  <c r="Z37" i="16"/>
  <c r="Z31" i="16"/>
  <c r="U24" i="16"/>
  <c r="Y42" i="16"/>
  <c r="AC26" i="16"/>
  <c r="X26" i="16"/>
  <c r="AF26" i="16" s="1"/>
  <c r="Z61" i="16"/>
  <c r="Y61" i="16"/>
  <c r="AB42" i="16"/>
  <c r="AD42" i="16"/>
  <c r="AF42" i="16" s="1"/>
  <c r="P42" i="16"/>
  <c r="AD12" i="16"/>
  <c r="AF12" i="16" s="1"/>
  <c r="AB12" i="16"/>
  <c r="AE12" i="16" s="1"/>
  <c r="P12" i="16"/>
  <c r="AG17" i="16"/>
  <c r="AD59" i="16"/>
  <c r="AF59" i="16" s="1"/>
  <c r="AB59" i="16"/>
  <c r="P59" i="16"/>
  <c r="AC34" i="16"/>
  <c r="AD55" i="16"/>
  <c r="AF55" i="16" s="1"/>
  <c r="AB55" i="16"/>
  <c r="P55" i="16"/>
  <c r="C2" i="11"/>
  <c r="AP6" i="16"/>
  <c r="AB6" i="16"/>
  <c r="P6" i="16"/>
  <c r="AD6" i="16"/>
  <c r="AG6" i="16" s="1"/>
  <c r="P10" i="16"/>
  <c r="AD10" i="16"/>
  <c r="AF10" i="16" s="1"/>
  <c r="AB10" i="16"/>
  <c r="AB16" i="16"/>
  <c r="P16" i="16"/>
  <c r="AD16" i="16"/>
  <c r="AF16" i="16" s="1"/>
  <c r="Y15" i="16"/>
  <c r="AD65" i="16"/>
  <c r="AF65" i="16" s="1"/>
  <c r="AB65" i="16"/>
  <c r="P65" i="16"/>
  <c r="W2" i="16"/>
  <c r="X2" i="16" s="1"/>
  <c r="Y39" i="16"/>
  <c r="AE47" i="16"/>
  <c r="AD22" i="16"/>
  <c r="AF22" i="16" s="1"/>
  <c r="AB22" i="16"/>
  <c r="P22" i="16"/>
  <c r="E2" i="11"/>
  <c r="AG26" i="16"/>
  <c r="Y63" i="16"/>
  <c r="Z63" i="16"/>
  <c r="X45" i="16"/>
  <c r="AC45" i="16"/>
  <c r="AD24" i="16"/>
  <c r="AB24" i="16"/>
  <c r="P24" i="16"/>
  <c r="P14" i="16"/>
  <c r="AD14" i="16"/>
  <c r="AF14" i="16" s="1"/>
  <c r="AB14" i="16"/>
  <c r="P15" i="16"/>
  <c r="AD15" i="16"/>
  <c r="AF15" i="16" s="1"/>
  <c r="AB15" i="16"/>
  <c r="X29" i="16"/>
  <c r="AC29" i="16"/>
  <c r="AD8" i="16"/>
  <c r="AF8" i="16" s="1"/>
  <c r="AB8" i="16"/>
  <c r="P8" i="16"/>
  <c r="Y57" i="16" l="1"/>
  <c r="Z57" i="16"/>
  <c r="AF57" i="16"/>
  <c r="M3" i="12" a="1"/>
  <c r="M3" i="12" s="1"/>
  <c r="AQ57" i="16"/>
  <c r="L2" i="11" s="1"/>
  <c r="AR57" i="16"/>
  <c r="AS57" i="16"/>
  <c r="AT57" i="16"/>
  <c r="N2" i="11" s="1"/>
  <c r="AU57" i="16"/>
  <c r="AV57" i="16"/>
  <c r="P2" i="11" s="1"/>
  <c r="Y21" i="16"/>
  <c r="Y38" i="16"/>
  <c r="AE66" i="16"/>
  <c r="AG41" i="16"/>
  <c r="AG37" i="16"/>
  <c r="P52" i="16"/>
  <c r="AB52" i="16"/>
  <c r="AE52" i="16" s="1"/>
  <c r="AB31" i="16"/>
  <c r="AE31" i="16" s="1"/>
  <c r="AD31" i="16"/>
  <c r="AF31" i="16" s="1"/>
  <c r="Z13" i="16"/>
  <c r="Z8" i="16"/>
  <c r="Z58" i="16"/>
  <c r="AD32" i="16"/>
  <c r="AF32" i="16" s="1"/>
  <c r="AF25" i="16"/>
  <c r="Y25" i="16"/>
  <c r="Z36" i="16"/>
  <c r="Z22" i="16"/>
  <c r="Z52" i="16"/>
  <c r="Y60" i="16"/>
  <c r="P13" i="16"/>
  <c r="Z32" i="16"/>
  <c r="AB13" i="16"/>
  <c r="AG13" i="16" s="1"/>
  <c r="P53" i="16"/>
  <c r="AB53" i="16"/>
  <c r="AG53" i="16" s="1"/>
  <c r="AG15" i="16"/>
  <c r="Z2" i="16"/>
  <c r="O3" i="12" s="1"/>
  <c r="AB32" i="16"/>
  <c r="AG64" i="16"/>
  <c r="AG21" i="16"/>
  <c r="AF41" i="16"/>
  <c r="O2" i="11"/>
  <c r="AB54" i="16"/>
  <c r="AD54" i="16"/>
  <c r="AF54" i="16" s="1"/>
  <c r="AG45" i="16"/>
  <c r="P2" i="16"/>
  <c r="C6" i="2" s="1"/>
  <c r="M2" i="11"/>
  <c r="AE19" i="16"/>
  <c r="AF19" i="16"/>
  <c r="AD38" i="16"/>
  <c r="AF38" i="16" s="1"/>
  <c r="P38" i="16"/>
  <c r="AB38" i="16"/>
  <c r="AG35" i="16"/>
  <c r="Y19" i="16"/>
  <c r="AG40" i="16"/>
  <c r="AF29" i="16"/>
  <c r="K2" i="11"/>
  <c r="AB50" i="16"/>
  <c r="P50" i="16"/>
  <c r="AD50" i="16"/>
  <c r="AF50" i="16" s="1"/>
  <c r="AE20" i="16"/>
  <c r="AG20" i="16"/>
  <c r="AG68" i="16"/>
  <c r="AE68" i="16"/>
  <c r="AB34" i="16"/>
  <c r="AE34" i="16" s="1"/>
  <c r="P34" i="16"/>
  <c r="AD34" i="16"/>
  <c r="Z43" i="16"/>
  <c r="Y43" i="16"/>
  <c r="AE43" i="16"/>
  <c r="AG61" i="16"/>
  <c r="AE61" i="16"/>
  <c r="AE6" i="16"/>
  <c r="Y26" i="16"/>
  <c r="Z26" i="16"/>
  <c r="AE26" i="16"/>
  <c r="AG29" i="16"/>
  <c r="Y40" i="16"/>
  <c r="Z40" i="16"/>
  <c r="AF40" i="16"/>
  <c r="AE40" i="16"/>
  <c r="AG9" i="16"/>
  <c r="Y41" i="16"/>
  <c r="Z41" i="16"/>
  <c r="AE41" i="16"/>
  <c r="Y68" i="16"/>
  <c r="Z68" i="16"/>
  <c r="AG7" i="16"/>
  <c r="AE7" i="16"/>
  <c r="P33" i="16"/>
  <c r="AD33" i="16"/>
  <c r="AF33" i="16" s="1"/>
  <c r="AB33" i="16"/>
  <c r="AD60" i="16"/>
  <c r="AF60" i="16" s="1"/>
  <c r="AB60" i="16"/>
  <c r="P60" i="16"/>
  <c r="AG59" i="16"/>
  <c r="AE59" i="16"/>
  <c r="AG23" i="16"/>
  <c r="AE23" i="16"/>
  <c r="AG65" i="16"/>
  <c r="AE65" i="16"/>
  <c r="AG57" i="16"/>
  <c r="AE57" i="16"/>
  <c r="AG51" i="16"/>
  <c r="AG42" i="16"/>
  <c r="AE42" i="16"/>
  <c r="AG10" i="16"/>
  <c r="AE10" i="16"/>
  <c r="AG63" i="16"/>
  <c r="AE63" i="16"/>
  <c r="AG5" i="16"/>
  <c r="AF5" i="16"/>
  <c r="AG22" i="16"/>
  <c r="AE22" i="16"/>
  <c r="AF45" i="16"/>
  <c r="Y59" i="16"/>
  <c r="Z59" i="16"/>
  <c r="Z53" i="16"/>
  <c r="AE15" i="16"/>
  <c r="Z16" i="16"/>
  <c r="Y16" i="16"/>
  <c r="AE8" i="16"/>
  <c r="AG8" i="16"/>
  <c r="AE24" i="16"/>
  <c r="AG24" i="16"/>
  <c r="AG55" i="16"/>
  <c r="AE55" i="16"/>
  <c r="AG12" i="16"/>
  <c r="Y24" i="16"/>
  <c r="Z24" i="16"/>
  <c r="AF24" i="16"/>
  <c r="AG56" i="16"/>
  <c r="AE56" i="16"/>
  <c r="AG52" i="16"/>
  <c r="Z6" i="16"/>
  <c r="AF6" i="16"/>
  <c r="Y6" i="16"/>
  <c r="AG46" i="16"/>
  <c r="AE46" i="16"/>
  <c r="AD18" i="16"/>
  <c r="AF18" i="16" s="1"/>
  <c r="AB18" i="16"/>
  <c r="P18" i="16"/>
  <c r="AG30" i="16"/>
  <c r="AE30" i="16"/>
  <c r="AF43" i="16"/>
  <c r="AE28" i="16"/>
  <c r="AG28" i="16"/>
  <c r="AD44" i="16"/>
  <c r="AF44" i="16" s="1"/>
  <c r="AB44" i="16"/>
  <c r="AG44" i="16" s="1"/>
  <c r="P44" i="16"/>
  <c r="Y49" i="16"/>
  <c r="Z49" i="16"/>
  <c r="AE14" i="16"/>
  <c r="AG14" i="16"/>
  <c r="AG39" i="16"/>
  <c r="AE39" i="16"/>
  <c r="Y33" i="16"/>
  <c r="Z33" i="16"/>
  <c r="Z29" i="16"/>
  <c r="Y29" i="16"/>
  <c r="AE29" i="16"/>
  <c r="AG67" i="16"/>
  <c r="AE67" i="16"/>
  <c r="AG62" i="16"/>
  <c r="AE62" i="16"/>
  <c r="AG11" i="16"/>
  <c r="AG43" i="16"/>
  <c r="Z45" i="16"/>
  <c r="Y45" i="16"/>
  <c r="AE45" i="16"/>
  <c r="AE16" i="16"/>
  <c r="AG16" i="16"/>
  <c r="Y44" i="16"/>
  <c r="Z44" i="16"/>
  <c r="AG25" i="16"/>
  <c r="AE25" i="16"/>
  <c r="AG19" i="16"/>
  <c r="P49" i="16"/>
  <c r="AD49" i="16"/>
  <c r="AF49" i="16" s="1"/>
  <c r="AB49" i="16"/>
  <c r="P3" i="12" l="1"/>
  <c r="J10" i="9"/>
  <c r="AG31" i="16"/>
  <c r="AG32" i="16"/>
  <c r="Y2" i="16"/>
  <c r="AG54" i="16"/>
  <c r="AE32" i="16"/>
  <c r="AE53" i="16"/>
  <c r="AE13" i="16"/>
  <c r="AE54" i="16"/>
  <c r="AE38" i="16"/>
  <c r="AG38" i="16"/>
  <c r="AG49" i="16"/>
  <c r="AE49" i="16"/>
  <c r="AG34" i="16"/>
  <c r="AF34" i="16"/>
  <c r="AG33" i="16"/>
  <c r="AE33" i="16"/>
  <c r="AG18" i="16"/>
  <c r="AE18" i="16"/>
  <c r="AG60" i="16"/>
  <c r="AE60" i="16"/>
  <c r="AE44" i="16"/>
  <c r="AG50" i="16"/>
  <c r="AE50" i="16"/>
  <c r="J2" i="11" l="1"/>
  <c r="J2" i="14"/>
  <c r="N3" i="12"/>
  <c r="J9" i="9"/>
  <c r="I16" i="6" l="1"/>
  <c r="I17" i="6"/>
  <c r="L2" i="6" l="1"/>
  <c r="L3" i="6"/>
  <c r="L4" i="6"/>
  <c r="L5" i="6"/>
  <c r="L6" i="6"/>
  <c r="L7" i="6"/>
  <c r="L8" i="6"/>
  <c r="L9" i="6"/>
  <c r="L10" i="6"/>
  <c r="L11" i="6"/>
  <c r="L12" i="6"/>
  <c r="L13" i="6"/>
  <c r="L14" i="6"/>
  <c r="L15" i="6"/>
  <c r="L16" i="6"/>
  <c r="L17" i="6"/>
  <c r="M2" i="6"/>
  <c r="M3" i="6"/>
  <c r="M4" i="6"/>
  <c r="M5" i="6"/>
  <c r="M6" i="6"/>
  <c r="M7" i="6"/>
  <c r="M8" i="6"/>
  <c r="M9" i="6"/>
  <c r="M10" i="6"/>
  <c r="M11" i="6"/>
  <c r="M12" i="6"/>
  <c r="M13" i="6"/>
  <c r="M14" i="6"/>
  <c r="M15" i="6"/>
  <c r="M16" i="6"/>
  <c r="M17" i="6" s="1"/>
  <c r="D16" i="6"/>
  <c r="J7" i="6"/>
  <c r="I7" i="6" s="1"/>
  <c r="J12" i="6"/>
  <c r="I12" i="6" s="1"/>
  <c r="J13" i="6"/>
  <c r="I13" i="6" s="1"/>
  <c r="D15" i="6"/>
  <c r="D3" i="6"/>
  <c r="D4" i="6"/>
  <c r="J4" i="6" s="1"/>
  <c r="I4" i="6" s="1"/>
  <c r="D5" i="6"/>
  <c r="J5" i="6" s="1"/>
  <c r="I5" i="6" s="1"/>
  <c r="D6" i="6"/>
  <c r="D7" i="6"/>
  <c r="D8" i="6"/>
  <c r="D9" i="6"/>
  <c r="D10" i="6"/>
  <c r="J10" i="6" s="1"/>
  <c r="I10" i="6" s="1"/>
  <c r="D11" i="6"/>
  <c r="J11" i="6" s="1"/>
  <c r="I11" i="6" s="1"/>
  <c r="D12" i="6"/>
  <c r="D13" i="6"/>
  <c r="D14" i="6"/>
  <c r="D2" i="6"/>
  <c r="J17" i="6" l="1"/>
  <c r="J9" i="6"/>
  <c r="I9" i="6" s="1"/>
  <c r="J8" i="6"/>
  <c r="I8" i="6" s="1"/>
  <c r="J2" i="6"/>
  <c r="I2" i="6" s="1"/>
  <c r="J3" i="6"/>
  <c r="I3" i="6" s="1"/>
  <c r="J6" i="6"/>
  <c r="I6" i="6" s="1"/>
  <c r="N1" i="12" l="1"/>
  <c r="J14" i="6" l="1"/>
  <c r="I14" i="6" s="1"/>
  <c r="J16" i="6"/>
  <c r="J15" i="6"/>
  <c r="I15" i="6" s="1"/>
  <c r="V3" i="6" l="1"/>
  <c r="V5" i="6" s="1"/>
  <c r="X17" i="14"/>
  <c r="Y17" i="14"/>
  <c r="Z17" i="14"/>
  <c r="K20" i="9"/>
  <c r="Z18" i="14" s="1"/>
  <c r="K21" i="9"/>
  <c r="Z19" i="14" s="1"/>
  <c r="K23" i="9"/>
  <c r="Z21" i="14" s="1"/>
  <c r="K24" i="9"/>
  <c r="Z22" i="14" s="1"/>
  <c r="K25" i="9"/>
  <c r="Z23" i="14" s="1"/>
  <c r="K26" i="9"/>
  <c r="Z24" i="14" s="1"/>
  <c r="K27" i="9"/>
  <c r="Z25" i="14" s="1"/>
  <c r="K28" i="9"/>
  <c r="Z26" i="14" s="1"/>
  <c r="K29" i="9"/>
  <c r="Z27" i="14" s="1"/>
  <c r="A4" i="9"/>
  <c r="A5" i="9" s="1"/>
  <c r="C1" i="12"/>
  <c r="G1" i="12"/>
  <c r="K1" i="12"/>
  <c r="F2" i="12"/>
  <c r="B28" i="2"/>
  <c r="B27" i="2"/>
  <c r="B26" i="2"/>
  <c r="B25" i="2"/>
  <c r="B24" i="2"/>
  <c r="B23" i="2"/>
  <c r="C14" i="2"/>
  <c r="C30" i="2"/>
  <c r="C29" i="2"/>
  <c r="C28" i="2"/>
  <c r="C27" i="2"/>
  <c r="C26" i="2"/>
  <c r="C24" i="2"/>
  <c r="C23" i="2"/>
  <c r="C11" i="2"/>
  <c r="D25" i="2"/>
  <c r="K22" i="9" s="1"/>
  <c r="Z20" i="14" s="1"/>
  <c r="C16" i="2"/>
  <c r="C129" i="8"/>
  <c r="C128" i="8"/>
  <c r="W2" i="11" l="1"/>
  <c r="J27" i="9"/>
  <c r="Y25" i="14" s="1"/>
  <c r="I2" i="14" s="1"/>
  <c r="J21" i="9"/>
  <c r="Y19" i="14" s="1"/>
  <c r="D2" i="14" s="1"/>
  <c r="J22" i="9"/>
  <c r="Y20" i="14" s="1"/>
  <c r="B2" i="14" s="1"/>
  <c r="W2" i="14" s="1"/>
  <c r="J20" i="9"/>
  <c r="Y18" i="14" s="1"/>
  <c r="C2" i="14" s="1"/>
  <c r="J23" i="9"/>
  <c r="Y21" i="14" s="1"/>
  <c r="E2" i="14" s="1"/>
  <c r="J24" i="9"/>
  <c r="Y22" i="14" s="1"/>
  <c r="F2" i="14" s="1"/>
  <c r="I29" i="9"/>
  <c r="X27" i="14" s="1"/>
  <c r="J25" i="9"/>
  <c r="Y23" i="14" s="1"/>
  <c r="G2" i="14" s="1"/>
  <c r="J26" i="9"/>
  <c r="Y24" i="14" s="1"/>
  <c r="H2" i="14" s="1"/>
  <c r="J29" i="9"/>
  <c r="Y27" i="14" s="1"/>
  <c r="A8" i="9"/>
  <c r="A7" i="9"/>
  <c r="A6" i="9"/>
  <c r="A26" i="2"/>
  <c r="I23" i="9" s="1"/>
  <c r="X21" i="14" s="1"/>
  <c r="N2" i="14" s="1"/>
  <c r="C15" i="2"/>
  <c r="A27" i="2"/>
  <c r="I24" i="9" s="1"/>
  <c r="X22" i="14" s="1"/>
  <c r="O2" i="14" s="1"/>
  <c r="A25" i="2"/>
  <c r="I22" i="9" s="1"/>
  <c r="X20" i="14" s="1"/>
  <c r="K2" i="14" s="1"/>
  <c r="X2" i="14" s="1"/>
  <c r="A24" i="2"/>
  <c r="I21" i="9" s="1"/>
  <c r="X19" i="14" s="1"/>
  <c r="M2" i="14" s="1"/>
  <c r="V2" i="14" s="1"/>
  <c r="B3" i="9"/>
  <c r="H5" i="14" s="1"/>
  <c r="A23" i="2"/>
  <c r="I20" i="9" s="1"/>
  <c r="X18" i="14" s="1"/>
  <c r="L2" i="14" s="1"/>
  <c r="T2" i="14" s="1"/>
  <c r="A30" i="2"/>
  <c r="I27" i="9" s="1"/>
  <c r="X25" i="14" s="1"/>
  <c r="A29" i="2"/>
  <c r="I26" i="9" s="1"/>
  <c r="X24" i="14" s="1"/>
  <c r="A28" i="2"/>
  <c r="I25" i="9" s="1"/>
  <c r="X23" i="14" s="1"/>
  <c r="P2" i="14" s="1"/>
  <c r="B31" i="2"/>
  <c r="A31" i="2" s="1"/>
  <c r="I28" i="9" s="1"/>
  <c r="X26" i="14" s="1"/>
  <c r="B32" i="2"/>
  <c r="A32" i="2" s="1"/>
  <c r="C31" i="2"/>
  <c r="J28" i="9" s="1"/>
  <c r="Y26" i="14" s="1"/>
  <c r="C32" i="2"/>
  <c r="B7" i="9" l="1"/>
  <c r="B5" i="9"/>
  <c r="B6" i="9"/>
  <c r="B8" i="9"/>
  <c r="D53" i="8" l="1"/>
  <c r="C12" i="2" s="1"/>
  <c r="B19" i="8"/>
  <c r="B18" i="8"/>
  <c r="C10" i="2" l="1"/>
  <c r="J12" i="9" s="1"/>
  <c r="A20" i="8"/>
  <c r="J16" i="9" l="1"/>
  <c r="T2" i="11" l="1"/>
  <c r="X2" i="11"/>
  <c r="V2" i="11"/>
  <c r="G4" i="9" l="1"/>
  <c r="G5" i="9" s="1"/>
  <c r="H5" i="11"/>
  <c r="C4" i="2"/>
  <c r="C5" i="2" s="1"/>
  <c r="H3" i="9" l="1"/>
  <c r="H7" i="9" s="1"/>
  <c r="G6" i="9"/>
  <c r="G7" i="9"/>
  <c r="G8" i="9"/>
  <c r="H8" i="9"/>
  <c r="H5" i="9"/>
  <c r="I5" i="9" s="1"/>
  <c r="H6" i="9"/>
  <c r="I6" i="9" s="1"/>
  <c r="I7" i="9" l="1"/>
  <c r="I8" i="9"/>
  <c r="J17" i="9" s="1"/>
  <c r="S2" i="14"/>
  <c r="U2" i="14"/>
  <c r="U2" i="11"/>
  <c r="S2" i="11"/>
  <c r="C37" i="2" l="1"/>
  <c r="J11" i="9" l="1"/>
  <c r="C38" i="2"/>
  <c r="E4" i="9" s="1"/>
  <c r="E7" i="9" l="1"/>
  <c r="E5" i="9"/>
  <c r="E8" i="9"/>
  <c r="E6" i="9"/>
  <c r="F3" i="9"/>
  <c r="F8" i="9" l="1"/>
  <c r="F7" i="9"/>
  <c r="F5" i="9"/>
  <c r="F6" i="9"/>
  <c r="C40" i="2" l="1"/>
  <c r="C41" i="2" s="1"/>
  <c r="C4" i="9" s="1"/>
  <c r="D3" i="9" l="1"/>
  <c r="C5" i="9"/>
  <c r="C7" i="9"/>
  <c r="C8" i="9"/>
  <c r="C6" i="9"/>
  <c r="D8" i="9" l="1"/>
  <c r="D5" i="9"/>
  <c r="D7" i="9"/>
  <c r="D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tc={285DF55E-E0D1-4710-9CDF-AC0B8853FD2D}</author>
  </authors>
  <commentList>
    <comment ref="P2" authorId="0" shapeId="0" xr:uid="{285DF55E-E0D1-4710-9CDF-AC0B8853FD2D}">
      <text>
        <t>[Threaded comment]
Your version of Excel allows you to read this threaded comment; however, any edits to it will get removed if the file is opened in a newer version of Excel. Learn more: https://go.microsoft.com/fwlink/?linkid=870924
Comment:
    Variability could be due to a number of things
- Driving Habits (Accelerator usage)
- highway vs city driving where there is less regen braking
- using A/C while parked
- Battery preconditioning while unplugged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<sst xmlns="http://schemas.openxmlformats.org/spreadsheetml/2006/main" count="463" uniqueCount="381">
  <si>
    <t>Date</t>
  </si>
  <si>
    <t>Gas Price Per Gal</t>
  </si>
  <si>
    <t>Est Gallons of gas</t>
  </si>
  <si>
    <t>Est Gas Cost</t>
  </si>
  <si>
    <t>Total Charge Cost</t>
  </si>
  <si>
    <t>Charge / Gas Cost Difference</t>
  </si>
  <si>
    <t>Amt Gas Saved All Home Chg</t>
  </si>
  <si>
    <t>Charging Stats</t>
  </si>
  <si>
    <t>Driving Stats</t>
  </si>
  <si>
    <t>Charging Cost Totals</t>
  </si>
  <si>
    <t>Gas Cost</t>
  </si>
  <si>
    <t>Gas Saving</t>
  </si>
  <si>
    <t>Super Vs Home Charge Cost</t>
  </si>
  <si>
    <t>chg % start</t>
  </si>
  <si>
    <t>Chg % after</t>
  </si>
  <si>
    <t>max miles after chg</t>
  </si>
  <si>
    <t>All Home Chg cost</t>
  </si>
  <si>
    <t>all Super Chg Cost</t>
  </si>
  <si>
    <t>Amt Gas aved All Super  Chg</t>
  </si>
  <si>
    <t>Amt Saved Home vs Super Chg</t>
  </si>
  <si>
    <t>% saving</t>
  </si>
  <si>
    <t>Odometer Miles</t>
  </si>
  <si>
    <t>MPG of Kia</t>
  </si>
  <si>
    <t>max charge percent</t>
  </si>
  <si>
    <t>Grand Total</t>
  </si>
  <si>
    <t>Row Labels</t>
  </si>
  <si>
    <t>Miles Driven</t>
  </si>
  <si>
    <t xml:space="preserve"> Miles Driven</t>
  </si>
  <si>
    <t xml:space="preserve"> Total Charge Cost</t>
  </si>
  <si>
    <t xml:space="preserve"> Est Gallons of gas</t>
  </si>
  <si>
    <t xml:space="preserve"> Est Gas Cost</t>
  </si>
  <si>
    <t xml:space="preserve"> Charge / Gas Cost Difference</t>
  </si>
  <si>
    <t>&lt;8/31/2025</t>
  </si>
  <si>
    <t>8/31/2025 - 9/6/2025</t>
  </si>
  <si>
    <t>9/7/2025 - 9/13/2025</t>
  </si>
  <si>
    <t>9/14/2025 - 9/20/2025</t>
  </si>
  <si>
    <t>Bill Cycle</t>
  </si>
  <si>
    <t>bill Amount</t>
  </si>
  <si>
    <t>seq</t>
  </si>
  <si>
    <t>Chg Start Time</t>
  </si>
  <si>
    <t>Chg End Time</t>
  </si>
  <si>
    <t>Chg hours</t>
  </si>
  <si>
    <t>Charge Cost Home</t>
  </si>
  <si>
    <t>Charge Cost Super Chg</t>
  </si>
  <si>
    <t>Home KWh</t>
  </si>
  <si>
    <t>Total KWh</t>
  </si>
  <si>
    <t>Cost / KWh Super Charger</t>
  </si>
  <si>
    <t>Cost Per KWh Home</t>
  </si>
  <si>
    <t>Super Charger KWh</t>
  </si>
  <si>
    <t>Home L1 Chg KWh</t>
  </si>
  <si>
    <t>Home L2 Chg KWh</t>
  </si>
  <si>
    <t>Home Chg Saving</t>
  </si>
  <si>
    <t>Splitter / Surge Prot Cost</t>
  </si>
  <si>
    <t>KWh's per Gallon of Gas</t>
  </si>
  <si>
    <t>all Gas Cost</t>
  </si>
  <si>
    <t>9/21/2025 - 9/27/2025</t>
  </si>
  <si>
    <t>Chg %</t>
  </si>
  <si>
    <t>Miles per KWh</t>
  </si>
  <si>
    <t>KWh's Per Mile</t>
  </si>
  <si>
    <t>🔹 Combustion Chemistry</t>
  </si>
  <si>
    <r>
      <t xml:space="preserve">Gasoline is roughly </t>
    </r>
    <r>
      <rPr>
        <b/>
        <sz val="11"/>
        <color theme="1"/>
        <rFont val="Aptos Narrow"/>
        <family val="2"/>
        <scheme val="minor"/>
      </rPr>
      <t>C₈H₁₈</t>
    </r>
    <r>
      <rPr>
        <sz val="11"/>
        <color theme="1"/>
        <rFont val="Aptos Narrow"/>
        <family val="2"/>
        <scheme val="minor"/>
      </rPr>
      <t xml:space="preserve"> (octane-like hydrocarbon).</t>
    </r>
  </si>
  <si>
    <r>
      <t xml:space="preserve">1 gallon ≈ </t>
    </r>
    <r>
      <rPr>
        <b/>
        <sz val="11"/>
        <color theme="1"/>
        <rFont val="Aptos Narrow"/>
        <family val="2"/>
        <scheme val="minor"/>
      </rPr>
      <t>6.3 pounds (2.85 kg)</t>
    </r>
    <r>
      <rPr>
        <sz val="11"/>
        <color theme="1"/>
        <rFont val="Aptos Narrow"/>
        <family val="2"/>
        <scheme val="minor"/>
      </rPr>
      <t xml:space="preserve"> of liquid fuel.</t>
    </r>
  </si>
  <si>
    <t>Complete combustion:</t>
  </si>
  <si>
    <t>C8H18+12.5O2→8CO2+9H2OC_8H_{18} + 12.5 O_2 \rightarrow 8 CO_2 + 9 H_2OC8​H18​+12.5O2​→8CO2​+9H2​O</t>
  </si>
  <si>
    <t>🔹 Approximate Emissions Per 1 Gallon of Gasoline</t>
  </si>
  <si>
    <t>Pollutant</t>
  </si>
  <si>
    <t>Typical Amount Released*</t>
  </si>
  <si>
    <t>Notes</t>
  </si>
  <si>
    <t>Carbon dioxide (CO₂)</t>
  </si>
  <si>
    <t>≈ 19.6 lbs (8.9 kg)</t>
  </si>
  <si>
    <t>Main greenhouse gas; comes from carbon in the fuel</t>
  </si>
  <si>
    <t>Water vapor (H₂O)</t>
  </si>
  <si>
    <t>≈ 8.0 lbs (3.6 kg)</t>
  </si>
  <si>
    <t>From hydrogen in the fuel</t>
  </si>
  <si>
    <t>Carbon monoxide (CO)</t>
  </si>
  <si>
    <t>0.02–0.3 lbs (9–140 g)**</t>
  </si>
  <si>
    <t>Depends on catalytic converter efficiency</t>
  </si>
  <si>
    <t>Nitrogen oxides (NOₓ)</t>
  </si>
  <si>
    <t>0.01–0.07 lbs (5–30 g)**</t>
  </si>
  <si>
    <t>Includes NO &amp; NO₂; formed from high-temp combustion</t>
  </si>
  <si>
    <t>Unburned hydrocarbons (VOCs)</t>
  </si>
  <si>
    <t>0.002–0.03 lbs (1–14 g)**</t>
  </si>
  <si>
    <t>Evaporative + exhaust</t>
  </si>
  <si>
    <t>Particulate matter (PM2.5)</t>
  </si>
  <si>
    <t>0.001–0.003 lbs (0.5–1.5 g)**</t>
  </si>
  <si>
    <t>Soot &amp; tiny aerosols</t>
  </si>
  <si>
    <t>Sulfur dioxide (SO₂)</t>
  </si>
  <si>
    <t>0.004 lbs (≈2 g)**</t>
  </si>
  <si>
    <t>Depends on sulfur in fuel (low in U.S. reformulated gas)</t>
  </si>
  <si>
    <t>*Range reflects modern vehicles with functioning catalytic converters under normal operation.</t>
  </si>
  <si>
    <t>Key Takeaways</t>
  </si>
  <si>
    <r>
      <t>CO₂ is by far the largest emission</t>
    </r>
    <r>
      <rPr>
        <sz val="11"/>
        <color theme="1"/>
        <rFont val="Aptos Narrow"/>
        <family val="2"/>
        <scheme val="minor"/>
      </rPr>
      <t xml:space="preserve">—about </t>
    </r>
    <r>
      <rPr>
        <b/>
        <sz val="11"/>
        <color theme="1"/>
        <rFont val="Aptos Narrow"/>
        <family val="2"/>
        <scheme val="minor"/>
      </rPr>
      <t>3 times the weight of the gasoline itself</t>
    </r>
    <r>
      <rPr>
        <sz val="11"/>
        <color theme="1"/>
        <rFont val="Aptos Narrow"/>
        <family val="2"/>
        <scheme val="minor"/>
      </rPr>
      <t xml:space="preserve"> because carbon combines with oxygen from the air.</t>
    </r>
  </si>
  <si>
    <t>Water vapor is the second-largest product.</t>
  </si>
  <si>
    <t>Harmful pollutants (CO, NOₓ, VOCs, PM) are much smaller in mass but have major health and environmental impacts (smog, ozone, respiratory effects).</t>
  </si>
  <si>
    <r>
      <t xml:space="preserve">The weight of </t>
    </r>
    <r>
      <rPr>
        <b/>
        <sz val="11"/>
        <color theme="1"/>
        <rFont val="Aptos Narrow"/>
        <family val="2"/>
        <scheme val="minor"/>
      </rPr>
      <t>one gallon of gasoline</t>
    </r>
    <r>
      <rPr>
        <sz val="11"/>
        <color theme="1"/>
        <rFont val="Aptos Narrow"/>
        <family val="2"/>
        <scheme val="minor"/>
      </rPr>
      <t xml:space="preserve"> depends slightly on temperature (because gasoline expands/contracts with heat) and the exact blend, but on average:</t>
    </r>
  </si>
  <si>
    <t>Condition</t>
  </si>
  <si>
    <t>Weight per U.S. gallon</t>
  </si>
  <si>
    <t>Typical pump temperature (~60 °F / 15.6 °C)</t>
  </si>
  <si>
    <t>≈ 6.1 – 6.3 lbs (2.8 – 2.9 kg)</t>
  </si>
  <si>
    <t>Cold weather (~30 °F / -1 °C)</t>
  </si>
  <si>
    <t>≈ 6.4 lbs (2.9 kg)</t>
  </si>
  <si>
    <t>Hot weather (~90 °F / 32 °C)</t>
  </si>
  <si>
    <t>≈ 5.9 lbs (2.7 kg)</t>
  </si>
  <si>
    <r>
      <t xml:space="preserve">⚡ </t>
    </r>
    <r>
      <rPr>
        <b/>
        <sz val="11"/>
        <color theme="1"/>
        <rFont val="Aptos Narrow"/>
        <family val="2"/>
        <scheme val="minor"/>
      </rPr>
      <t>Rule of thumb:</t>
    </r>
  </si>
  <si>
    <r>
      <t xml:space="preserve">Most fuel calculations use </t>
    </r>
    <r>
      <rPr>
        <b/>
        <sz val="11"/>
        <color theme="1"/>
        <rFont val="Aptos Narrow"/>
        <family val="2"/>
        <scheme val="minor"/>
      </rPr>
      <t>6.2 lbs per gallon</t>
    </r>
    <r>
      <rPr>
        <sz val="11"/>
        <color theme="1"/>
        <rFont val="Aptos Narrow"/>
        <family val="2"/>
        <scheme val="minor"/>
      </rPr>
      <t xml:space="preserve"> (2.82 kg) at 60 °F as the standard reference.</t>
    </r>
  </si>
  <si>
    <t>Total Weight of Chemicals in Atmosphere</t>
  </si>
  <si>
    <r>
      <t>SO₂</t>
    </r>
    <r>
      <rPr>
        <sz val="11"/>
        <color theme="1"/>
        <rFont val="Aptos Narrow"/>
        <family val="2"/>
        <scheme val="minor"/>
      </rPr>
      <t xml:space="preserve"> stands for </t>
    </r>
    <r>
      <rPr>
        <b/>
        <sz val="11"/>
        <color theme="1"/>
        <rFont val="Aptos Narrow"/>
        <family val="2"/>
        <scheme val="minor"/>
      </rPr>
      <t>sulfur dioxide</t>
    </r>
    <r>
      <rPr>
        <sz val="11"/>
        <color theme="1"/>
        <rFont val="Aptos Narrow"/>
        <family val="2"/>
        <scheme val="minor"/>
      </rPr>
      <t>, a colorless gas with a sharp, irritating smell (like a struck match).</t>
    </r>
  </si>
  <si>
    <r>
      <t xml:space="preserve">It is produced when </t>
    </r>
    <r>
      <rPr>
        <b/>
        <sz val="11"/>
        <color theme="1"/>
        <rFont val="Aptos Narrow"/>
        <family val="2"/>
        <scheme val="minor"/>
      </rPr>
      <t>sulfur-containing fuels</t>
    </r>
    <r>
      <rPr>
        <sz val="11"/>
        <color theme="1"/>
        <rFont val="Aptos Narrow"/>
        <family val="2"/>
        <scheme val="minor"/>
      </rPr>
      <t>—such as gasoline, diesel, coal, or oil—are burned.</t>
    </r>
  </si>
  <si>
    <t>Key Facts about SO₂</t>
  </si>
  <si>
    <t>Property</t>
  </si>
  <si>
    <t>Details</t>
  </si>
  <si>
    <t>Chemical formula</t>
  </si>
  <si>
    <t>SO₂</t>
  </si>
  <si>
    <t>Formation</t>
  </si>
  <si>
    <t>Sulfur in fuel + Oxygen during combustion → SO₂</t>
  </si>
  <si>
    <t>Sources</t>
  </si>
  <si>
    <t>Power plants, vehicle exhaust (especially diesel), oil refineries, volcanoes</t>
  </si>
  <si>
    <t>Health effects</t>
  </si>
  <si>
    <t>Can irritate lungs and airways, trigger asthma attacks, cause coughing or throat irritation</t>
  </si>
  <si>
    <t>Environmental effects</t>
  </si>
  <si>
    <r>
      <t xml:space="preserve">Reacts in the atmosphere to form </t>
    </r>
    <r>
      <rPr>
        <b/>
        <sz val="11"/>
        <color theme="1"/>
        <rFont val="Aptos Narrow"/>
        <family val="2"/>
        <scheme val="minor"/>
      </rPr>
      <t>sulfuric acid (H₂SO₄)</t>
    </r>
    <r>
      <rPr>
        <sz val="11"/>
        <color theme="1"/>
        <rFont val="Aptos Narrow"/>
        <family val="2"/>
        <scheme val="minor"/>
      </rPr>
      <t xml:space="preserve"> and fine sulfate particles → contributes to </t>
    </r>
    <r>
      <rPr>
        <b/>
        <sz val="11"/>
        <color theme="1"/>
        <rFont val="Aptos Narrow"/>
        <family val="2"/>
        <scheme val="minor"/>
      </rPr>
      <t>acid rain</t>
    </r>
    <r>
      <rPr>
        <sz val="11"/>
        <color theme="1"/>
        <rFont val="Aptos Narrow"/>
        <family val="2"/>
        <scheme val="minor"/>
      </rPr>
      <t xml:space="preserve"> and </t>
    </r>
    <r>
      <rPr>
        <b/>
        <sz val="11"/>
        <color theme="1"/>
        <rFont val="Aptos Narrow"/>
        <family val="2"/>
        <scheme val="minor"/>
      </rPr>
      <t>PM2.5 pollution</t>
    </r>
  </si>
  <si>
    <t>Gasoline Context</t>
  </si>
  <si>
    <r>
      <t xml:space="preserve">Modern U.S. gasoline is “low sulfur,” typically </t>
    </r>
    <r>
      <rPr>
        <b/>
        <sz val="11"/>
        <color theme="1"/>
        <rFont val="Aptos Narrow"/>
        <family val="2"/>
        <scheme val="minor"/>
      </rPr>
      <t>≤10 ppm sulfur</t>
    </r>
    <r>
      <rPr>
        <sz val="11"/>
        <color theme="1"/>
        <rFont val="Aptos Narrow"/>
        <family val="2"/>
        <scheme val="minor"/>
      </rPr>
      <t>, so SO₂ emissions from cars are relatively small compared to coal or heavy oil combustion.</t>
    </r>
  </si>
  <si>
    <t>Weight of Harmful Chemicals</t>
  </si>
  <si>
    <t>Gallons of Gas</t>
  </si>
  <si>
    <t>CO2 in the atmostphere</t>
  </si>
  <si>
    <t>First Day running car</t>
  </si>
  <si>
    <t>Days running the Tesla</t>
  </si>
  <si>
    <t>Last Day running car</t>
  </si>
  <si>
    <t>For context, 1 human exhales 2-4 Lbs of CO2 per day</t>
  </si>
  <si>
    <t>Electric Motor Efficiency over ICE Motor</t>
  </si>
  <si>
    <r>
      <t xml:space="preserve">Natural gas, coal, and gasoline all release </t>
    </r>
    <r>
      <rPr>
        <b/>
        <sz val="11"/>
        <color theme="1"/>
        <rFont val="Aptos Narrow"/>
        <family val="2"/>
        <scheme val="minor"/>
      </rPr>
      <t>carbon dioxide (CO₂)</t>
    </r>
    <r>
      <rPr>
        <sz val="11"/>
        <color theme="1"/>
        <rFont val="Aptos Narrow"/>
        <family val="2"/>
        <scheme val="minor"/>
      </rPr>
      <t xml:space="preserve"> and other pollutants when burned, but the </t>
    </r>
    <r>
      <rPr>
        <b/>
        <sz val="11"/>
        <color theme="1"/>
        <rFont val="Aptos Narrow"/>
        <family val="2"/>
        <scheme val="minor"/>
      </rPr>
      <t>amounts and types of emissions per unit of energy</t>
    </r>
    <r>
      <rPr>
        <sz val="11"/>
        <color theme="1"/>
        <rFont val="Aptos Narrow"/>
        <family val="2"/>
        <scheme val="minor"/>
      </rPr>
      <t xml:space="preserve"> differ a lot.</t>
    </r>
  </si>
  <si>
    <t>Here’s a clear comparison:</t>
  </si>
  <si>
    <t>🔹 Carbon Dioxide Emissions (per million BTU of energy)</t>
  </si>
  <si>
    <t>Fuel (typical U.S. averages)</t>
  </si>
  <si>
    <t>CO₂ Emitted</t>
  </si>
  <si>
    <t>Approx. Per Gallon/Unit</t>
  </si>
  <si>
    <t>Coal (bituminous)</t>
  </si>
  <si>
    <t>~205 lb CO₂ / MMBtu</t>
  </si>
  <si>
    <t>~2.1 lb CO₂ per kWh of electricity</t>
  </si>
  <si>
    <t>Gasoline</t>
  </si>
  <si>
    <t>~157 lb CO₂ / MMBtu</t>
  </si>
  <si>
    <t>~19.6 lb CO₂ per gallon</t>
  </si>
  <si>
    <t>Natural gas (methane)</t>
  </si>
  <si>
    <t>~117 lb CO₂ / MMBtu</t>
  </si>
  <si>
    <t>~12 lb CO₂ per 1,000 cubic feet</t>
  </si>
  <si>
    <t>Takeaway:</t>
  </si>
  <si>
    <r>
      <t xml:space="preserve">➡️ </t>
    </r>
    <r>
      <rPr>
        <b/>
        <sz val="11"/>
        <color theme="1"/>
        <rFont val="Aptos Narrow"/>
        <family val="2"/>
        <scheme val="minor"/>
      </rPr>
      <t>Natural gas emits ~25% less CO₂ than gasoline and ~40% less than coal</t>
    </r>
    <r>
      <rPr>
        <sz val="11"/>
        <color theme="1"/>
        <rFont val="Aptos Narrow"/>
        <family val="2"/>
        <scheme val="minor"/>
      </rPr>
      <t xml:space="preserve"> for the same energy produced.</t>
    </r>
  </si>
  <si>
    <t>🔹 Other Pollutants</t>
  </si>
  <si>
    <t>Natural Gas</t>
  </si>
  <si>
    <t>Coal</t>
  </si>
  <si>
    <t>Very low</t>
  </si>
  <si>
    <t>Low (modern gas)</t>
  </si>
  <si>
    <r>
      <t>High</t>
    </r>
    <r>
      <rPr>
        <sz val="11"/>
        <color theme="1"/>
        <rFont val="Aptos Narrow"/>
        <family val="2"/>
        <scheme val="minor"/>
      </rPr>
      <t xml:space="preserve"> (unless scrubbed)</t>
    </r>
  </si>
  <si>
    <t>Low</t>
  </si>
  <si>
    <t>Moderate</t>
  </si>
  <si>
    <t>High</t>
  </si>
  <si>
    <t>Particulate matter (PM)</t>
  </si>
  <si>
    <t>Mercury/Heavy metals</t>
  </si>
  <si>
    <t>None</t>
  </si>
  <si>
    <t>Trace</t>
  </si>
  <si>
    <r>
      <t>High</t>
    </r>
    <r>
      <rPr>
        <sz val="11"/>
        <color theme="1"/>
        <rFont val="Aptos Narrow"/>
        <family val="2"/>
        <scheme val="minor"/>
      </rPr>
      <t xml:space="preserve"> (coal contains trace metals)</t>
    </r>
  </si>
  <si>
    <t>🔹 Why They Differ</t>
  </si>
  <si>
    <r>
      <t>Coal</t>
    </r>
    <r>
      <rPr>
        <sz val="11"/>
        <color theme="1"/>
        <rFont val="Aptos Narrow"/>
        <family val="2"/>
        <scheme val="minor"/>
      </rPr>
      <t xml:space="preserve"> is mostly carbon and contains sulfur and minerals → highest CO₂, SO₂, mercury, and particulates.</t>
    </r>
  </si>
  <si>
    <r>
      <t>Gasoline</t>
    </r>
    <r>
      <rPr>
        <sz val="11"/>
        <color theme="1"/>
        <rFont val="Aptos Narrow"/>
        <family val="2"/>
        <scheme val="minor"/>
      </rPr>
      <t xml:space="preserve"> is a liquid hydrocarbon → mid-range CO₂, low sulfur, but produces more CO &amp; VOCs in vehicles.</t>
    </r>
  </si>
  <si>
    <r>
      <t>Natural gas</t>
    </r>
    <r>
      <rPr>
        <sz val="11"/>
        <color theme="1"/>
        <rFont val="Aptos Narrow"/>
        <family val="2"/>
        <scheme val="minor"/>
      </rPr>
      <t xml:space="preserve"> is mostly methane (CH₄), the most hydrogen-rich fossil fuel → lowest CO₂ per energy because hydrogen burns to water.</t>
    </r>
  </si>
  <si>
    <t>✅ Summary</t>
  </si>
  <si>
    <r>
      <t>Natural gas is the cleanest-burning fossil fuel</t>
    </r>
    <r>
      <rPr>
        <sz val="11"/>
        <color theme="1"/>
        <rFont val="Aptos Narrow"/>
        <family val="2"/>
        <scheme val="minor"/>
      </rPr>
      <t xml:space="preserve"> in terms of CO₂ and air pollutants.</t>
    </r>
  </si>
  <si>
    <t>Gasoline is cleaner than coal but dirtier than natural gas.</t>
  </si>
  <si>
    <r>
      <t>Coal is by far the dirtiest</t>
    </r>
    <r>
      <rPr>
        <sz val="11"/>
        <color theme="1"/>
        <rFont val="Aptos Narrow"/>
        <family val="2"/>
        <scheme val="minor"/>
      </rPr>
      <t>, both for greenhouse gases and health-related emissions.</t>
    </r>
  </si>
  <si>
    <r>
      <t xml:space="preserve">Would you like a </t>
    </r>
    <r>
      <rPr>
        <b/>
        <sz val="11"/>
        <color theme="1"/>
        <rFont val="Aptos Narrow"/>
        <family val="2"/>
        <scheme val="minor"/>
      </rPr>
      <t>per-kWh electricity comparison</t>
    </r>
    <r>
      <rPr>
        <sz val="11"/>
        <color theme="1"/>
        <rFont val="Aptos Narrow"/>
        <family val="2"/>
        <scheme val="minor"/>
      </rPr>
      <t xml:space="preserve"> (e.g., power plant output) or </t>
    </r>
    <r>
      <rPr>
        <b/>
        <sz val="11"/>
        <color theme="1"/>
        <rFont val="Aptos Narrow"/>
        <family val="2"/>
        <scheme val="minor"/>
      </rPr>
      <t>per-mile driven</t>
    </r>
    <r>
      <rPr>
        <sz val="11"/>
        <color theme="1"/>
        <rFont val="Aptos Narrow"/>
        <family val="2"/>
        <scheme val="minor"/>
      </rPr>
      <t xml:space="preserve"> comparison for cars vs. natural-gas vehicles?</t>
    </r>
  </si>
  <si>
    <r>
      <t xml:space="preserve">Good — I’ll give an approximate </t>
    </r>
    <r>
      <rPr>
        <b/>
        <sz val="11"/>
        <color theme="1"/>
        <rFont val="Aptos Narrow"/>
        <family val="2"/>
        <scheme val="minor"/>
      </rPr>
      <t>mass (lbs)</t>
    </r>
    <r>
      <rPr>
        <sz val="11"/>
        <color theme="1"/>
        <rFont val="Aptos Narrow"/>
        <family val="2"/>
        <scheme val="minor"/>
      </rPr>
      <t xml:space="preserve"> of each pollutant released </t>
    </r>
    <r>
      <rPr>
        <b/>
        <sz val="11"/>
        <color theme="1"/>
        <rFont val="Aptos Narrow"/>
        <family val="2"/>
        <scheme val="minor"/>
      </rPr>
      <t>for the amount of energy in 1 U.S. gallon of gasoline</t>
    </r>
    <r>
      <rPr>
        <sz val="11"/>
        <color theme="1"/>
        <rFont val="Aptos Narrow"/>
        <family val="2"/>
        <scheme val="minor"/>
      </rPr>
      <t xml:space="preserve"> (one common comparison basis).</t>
    </r>
  </si>
  <si>
    <t>Assumptions &amp; method (short):</t>
  </si>
  <si>
    <r>
      <t xml:space="preserve">1 U.S. gallon gasoline ≈ </t>
    </r>
    <r>
      <rPr>
        <b/>
        <sz val="11"/>
        <color theme="1"/>
        <rFont val="Aptos Narrow"/>
        <family val="2"/>
        <scheme val="minor"/>
      </rPr>
      <t>115,000 Btu</t>
    </r>
    <r>
      <rPr>
        <sz val="11"/>
        <color theme="1"/>
        <rFont val="Aptos Narrow"/>
        <family val="2"/>
        <scheme val="minor"/>
      </rPr>
      <t xml:space="preserve"> ≈ </t>
    </r>
    <r>
      <rPr>
        <b/>
        <sz val="11"/>
        <color theme="1"/>
        <rFont val="Aptos Narrow"/>
        <family val="2"/>
        <scheme val="minor"/>
      </rPr>
      <t>0.115 MMBtu</t>
    </r>
    <r>
      <rPr>
        <sz val="11"/>
        <color theme="1"/>
        <rFont val="Aptos Narrow"/>
        <family val="2"/>
        <scheme val="minor"/>
      </rPr>
      <t xml:space="preserve"> (energy basis used to compare fuels).</t>
    </r>
  </si>
  <si>
    <r>
      <t xml:space="preserve">I use typical emission-factor ranges (lb pollutant / MMBtu) for each fuel, multiply by </t>
    </r>
    <r>
      <rPr>
        <b/>
        <sz val="11"/>
        <color theme="1"/>
        <rFont val="Aptos Narrow"/>
        <family val="2"/>
        <scheme val="minor"/>
      </rPr>
      <t>0.115</t>
    </r>
    <r>
      <rPr>
        <sz val="11"/>
        <color theme="1"/>
        <rFont val="Aptos Narrow"/>
        <family val="2"/>
        <scheme val="minor"/>
      </rPr>
      <t xml:space="preserve"> to get </t>
    </r>
    <r>
      <rPr>
        <b/>
        <sz val="11"/>
        <color theme="1"/>
        <rFont val="Aptos Narrow"/>
        <family val="2"/>
        <scheme val="minor"/>
      </rPr>
      <t>lb per gallon-equivalent</t>
    </r>
    <r>
      <rPr>
        <sz val="11"/>
        <color theme="1"/>
        <rFont val="Aptos Narrow"/>
        <family val="2"/>
        <scheme val="minor"/>
      </rPr>
      <t>, and show ranges because actual numbers depend strongly on fuel quality, pollution controls, and operating conditions.</t>
    </r>
  </si>
  <si>
    <r>
      <t xml:space="preserve">Values are </t>
    </r>
    <r>
      <rPr>
        <b/>
        <sz val="11"/>
        <color theme="1"/>
        <rFont val="Aptos Narrow"/>
        <family val="2"/>
        <scheme val="minor"/>
      </rPr>
      <t>order-of-magnitude estimates</t>
    </r>
    <r>
      <rPr>
        <sz val="11"/>
        <color theme="1"/>
        <rFont val="Aptos Narrow"/>
        <family val="2"/>
        <scheme val="minor"/>
      </rPr>
      <t>, not legal or plant-level guarantees.</t>
    </r>
  </si>
  <si>
    <t>CO2 emissions of Nat Gas vs Gasoline</t>
  </si>
  <si>
    <t>Natural Gas is mostly Hydrogen and weightless adding to efficiency of Fossil Fuel source</t>
  </si>
  <si>
    <t>Cost Saving</t>
  </si>
  <si>
    <r>
      <rPr>
        <b/>
        <sz val="11"/>
        <color theme="1"/>
        <rFont val="Aptos Narrow"/>
        <family val="2"/>
        <scheme val="minor"/>
      </rPr>
      <t xml:space="preserve">Gasoline: </t>
    </r>
    <r>
      <rPr>
        <sz val="11"/>
        <color theme="1"/>
        <rFont val="Aptos Narrow"/>
        <family val="2"/>
        <scheme val="minor"/>
      </rPr>
      <t xml:space="preserve">Measured in gallons, gasoline has an energy content of approximately 114,000 to 125,000 BTU per gallon, depending on the blend (e.g., regular, premium, or ethanol-blended). For simplicity, a commonly used average is 115,000 BTU/gallon for regular gasoline.
</t>
    </r>
    <r>
      <rPr>
        <b/>
        <sz val="11"/>
        <color theme="1"/>
        <rFont val="Aptos Narrow"/>
        <family val="2"/>
        <scheme val="minor"/>
      </rPr>
      <t xml:space="preserve">Natural Gas: </t>
    </r>
    <r>
      <rPr>
        <sz val="11"/>
        <color theme="1"/>
        <rFont val="Aptos Narrow"/>
        <family val="2"/>
        <scheme val="minor"/>
      </rPr>
      <t>Often measured in cubic feet (cf) for residential use or therms (1 therm = 100,000 BTU) in energy contexts. The energy content of natural gas is approximately 1,000 BTU per cubic foot (standard at 60°F and 1 atm) or 100,000 BTU per therm.</t>
    </r>
  </si>
  <si>
    <t>BTU / Cu Ft of Natural Gas</t>
  </si>
  <si>
    <t>BTU / Gallon of Gasoline</t>
  </si>
  <si>
    <t>### Chemical Composition of Emissions</t>
  </si>
  <si>
    <t>The emissions from the combustion of 1 cubic foot (scf) of natural gas primarily consist of:</t>
  </si>
  <si>
    <t>- **Carbon dioxide (CO₂)**: The main product from complete combustion of methane (CH₄, ~95-99% of natural gas).</t>
  </si>
  <si>
    <t>- **Water vapor (H₂O)**: Formed as steam, but typically not classified as a pollutant emission.</t>
  </si>
  <si>
    <t>- **Nitrogen (N₂)**: From the air used in combustion, inert and non-polluting.</t>
  </si>
  <si>
    <t>- **Minor pollutants** (from incomplete combustion or impurities): Methane (CH₄, unburned), carbon monoxide (CO), nitrogen oxides (NOₓ), and trace amounts of volatile organic compounds (VOCs) or particulate matter (PM).</t>
  </si>
  <si>
    <t>The primary chemical reaction for complete combustion is:</t>
  </si>
  <si>
    <t>\[</t>
  </si>
  <si>
    <t>\mathrm{CH_4 + 2O_2 \rightarrow CO_2 + 2H_2O}</t>
  </si>
  <si>
    <t>\]</t>
  </si>
  <si>
    <t>This assumes ideal conditions; real-world combustion includes air (78% N₂, 21% O₂), leading to N₂ in the exhaust.</t>
  </si>
  <si>
    <t>### Weights of Emissions in Pounds (lbs)</t>
  </si>
  <si>
    <t>Based on standard emission factors from the U.S. Environmental Protection Agency (EPA) and U.S. Energy Information Administration (EIA), assuming complete combustion of 1 scf of natural gas (with ~1,030 BTU energy content and ~0.789 lbs mass, primarily CH₄). Weights are for gaseous emissions only (water vapor is often excluded from pollutant tallies).</t>
  </si>
  <si>
    <t>**Total primary pollutant weight**: ~0.117 lbs (dominated by CO₂). For full exhaust gas, the total mass is ~5.6 lbs (including N₂ and O₂), but this is not typically what "emissions" refers to in environmental contexts.</t>
  </si>
  <si>
    <t>These values assume residential/utility-scale combustion (e.g., boilers). Actual amounts vary by efficiency (e.g., 99%+ for modern systems reduces CO/CH₄). For precise applications, consult EPA's AP-42 guidelines.</t>
  </si>
  <si>
    <t>what is the chemical composition and weight in Lbs of the emissions of 1 cu ft of natural gas</t>
  </si>
  <si>
    <t xml:space="preserve"> Emission          </t>
  </si>
  <si>
    <t xml:space="preserve"> Chemical Formula </t>
  </si>
  <si>
    <t xml:space="preserve"> Weight (lbs per scf) </t>
  </si>
  <si>
    <t xml:space="preserve"> Notes/Source </t>
  </si>
  <si>
    <t>-------------------</t>
  </si>
  <si>
    <t>------------------</t>
  </si>
  <si>
    <t>----------------------</t>
  </si>
  <si>
    <t>-------------</t>
  </si>
  <si>
    <t xml:space="preserve"> **Carbon Dioxide** </t>
  </si>
  <si>
    <t xml:space="preserve"> CO₂             </t>
  </si>
  <si>
    <t xml:space="preserve"> Primary emission; 117 lbs CO₂ per million scf (EIA factor: 117 lbs CO₂ per million BTU, adjusted for natural gas). Equivalent to ~53 g/scf or 0.117 lbs/scf. </t>
  </si>
  <si>
    <t xml:space="preserve"> **Water Vapor**   </t>
  </si>
  <si>
    <t xml:space="preserve"> H₂O             </t>
  </si>
  <si>
    <t xml:space="preserve"> From combustion; 2 moles H₂O per mole CH₄. Often not counted as a pollutant. </t>
  </si>
  <si>
    <t xml:space="preserve"> **Carbon Monoxide** </t>
  </si>
  <si>
    <t xml:space="preserve"> CO            </t>
  </si>
  <si>
    <t xml:space="preserve"> From incomplete combustion; 84 lbs per million scf (EPA AP-42). </t>
  </si>
  <si>
    <t xml:space="preserve"> **Methane (unburned)** </t>
  </si>
  <si>
    <t xml:space="preserve"> CH₄         </t>
  </si>
  <si>
    <t xml:space="preserve"> 5 lbs per million scf (EPA AP-42). </t>
  </si>
  <si>
    <t xml:space="preserve"> **Nitrogen Oxides** </t>
  </si>
  <si>
    <t xml:space="preserve"> NOₓ           </t>
  </si>
  <si>
    <t xml:space="preserve"> ~100 lbs per million scf (EPA AP-42 for boilers). </t>
  </si>
  <si>
    <t xml:space="preserve"> **Nitrogen**      </t>
  </si>
  <si>
    <t xml:space="preserve"> N₂              </t>
  </si>
  <si>
    <t xml:space="preserve"> Inert; from air (not a pollutant). Total exhaust volume ~10-11 scf, ~76% N₂ by volume. </t>
  </si>
  <si>
    <t>Natural Gas (1 cu Ft)</t>
  </si>
  <si>
    <t>Gasoline (1 Gallon)</t>
  </si>
  <si>
    <t>Natural Gas (115 cu Ft)</t>
  </si>
  <si>
    <t>Weight (Lbs) of Chemicals harmful to Biology (respiratory, Carcinogenic, etc)</t>
  </si>
  <si>
    <t>Weight (Lbs) of Inert or unharmful chemicals (H2O, N2)</t>
  </si>
  <si>
    <t>Weight (Lbs) of Emissions in Atmosphere</t>
  </si>
  <si>
    <t>Natural Gas (Elec Power Plant)</t>
  </si>
  <si>
    <t>Gas (Car)</t>
  </si>
  <si>
    <t>Gas less Natural Gas</t>
  </si>
  <si>
    <t>$$$$</t>
  </si>
  <si>
    <t>$ 2025 amount of gas purchased since September 2025</t>
  </si>
  <si>
    <t>$ 2026 amount of gas purchased since September 2025</t>
  </si>
  <si>
    <t>Total Gas Purchased since owning a tesla</t>
  </si>
  <si>
    <t>Estimated Gallons of Gas purchased</t>
  </si>
  <si>
    <t>Actual Electric Car Usage</t>
  </si>
  <si>
    <t>Scenario 
(Update Gallons to see Change)</t>
  </si>
  <si>
    <t>Gas (Car) Equivalent</t>
  </si>
  <si>
    <t>Gas (Car) Purchased</t>
  </si>
  <si>
    <t>Natural Gas (Elec Power Plant) Not used by e Car</t>
  </si>
  <si>
    <t>2025 Total Gas Purchase for Car</t>
  </si>
  <si>
    <t>Estimated Gallons of Gas purchased in all of 2025</t>
  </si>
  <si>
    <t>Average Price Per Gallon of Gas in 2025</t>
  </si>
  <si>
    <t>Gas used Since Owning the Tesla
Over Concerns about Tesla Haters</t>
  </si>
  <si>
    <t>1 Gallon of gas has the same BTU's as 115 Cu Ft of Natural Gas</t>
  </si>
  <si>
    <t xml:space="preserve">Pounds of Emissions of Gasoline compared to Natural Gas </t>
  </si>
  <si>
    <t>Cu Ft Natural Gas = 1 Gallon of Gas (Equivalent BTU's)</t>
  </si>
  <si>
    <t>Cu Ft of 1 gallon of gas(since 1 cubic foot = 1,728 cubic inches, so 231 ÷ 1,728 ≈ 0.13368).</t>
  </si>
  <si>
    <t>Miles Driven in Electric Car</t>
  </si>
  <si>
    <t>Days owning a Tesla</t>
  </si>
  <si>
    <t>Cu Ft Natural Gas Burned for an Electric car accounting for electric Motor Efficiency = 1 Gallon of Gas (Equivalent BTU's)</t>
  </si>
  <si>
    <t>Cu Fee of Natural Gas used by power plant to generate electricity (1 Gallon = 34.5 cu ft(115*.3) of Natural Gas), Accounting for Electric motor efficiency</t>
  </si>
  <si>
    <t>Energy Efficiency Comparison: Tesla Electric Motor vs. Average Internal Combustion Engine (ICE)</t>
  </si>
  <si>
    <t>Energy efficiency in vehicle powertrains refers to the percentage of input energy (from fuel or electricity) that is converted into useful mechanical work to propel the vehicle. For electric motors, this is straightforward: it's primarily the motor's conversion of electrical energy to mechanical energy. For ICEs, it's the thermal efficiency of converting chemical energy in fuel to mechanical energy. Below, I'll compare the two based on established data from reliable sources like the U.S. Department of Energy (via fueleconomy.gov), EPA estimates, and engineering analyses.</t>
  </si>
  <si>
    <t>Key Efficiency Figures</t>
  </si>
  <si>
    <t>Component</t>
  </si>
  <si>
    <t>Efficiency Range</t>
  </si>
  <si>
    <t>Typical/Average Value</t>
  </si>
  <si>
    <t>Tesla Electric Motor</t>
  </si>
  <si>
    <t>93–97%</t>
  </si>
  <si>
    <t>95–97%</t>
  </si>
  <si>
    <t>Tesla's permanent magnet motors (used in Model 3/Y/S/X) achieve peak efficiencies of 97% at optimal speeds/torques. Inverter efficiency adds 96–99%, but overall drivetrain efficiency (battery to wheels) is ~85–90%. Older induction motors were ~93%.</t>
  </si>
  <si>
    <t>Average ICE (Gasoline)</t>
  </si>
  <si>
    <t>20–40%</t>
  </si>
  <si>
    <t>25–30%</t>
  </si>
  <si>
    <t>Most road-legal gasoline engines peak at 30–35%, but real-world averages (accounting for varying loads) are 20–30%. Diesel ICEs are slightly higher at 30–45%. Losses include heat (60–70%), exhaust, and friction.</t>
  </si>
  <si>
    <t>Explanation and Substantiation</t>
  </si>
  <si>
    <r>
      <t>Tesla Electric Motors</t>
    </r>
    <r>
      <rPr>
        <sz val="11"/>
        <color theme="1"/>
        <rFont val="Aptos Narrow"/>
        <family val="2"/>
        <scheme val="minor"/>
      </rPr>
      <t>: Electric motors are inherently efficient because they convert energy via electromagnetic fields with minimal waste. Tesla's designs (e.g., permanent magnet synchronous reluctance motors) minimize copper/iron losses and heat. For instance:</t>
    </r>
  </si>
  <si>
    <t>Model 3/Y drivetrains reach 97% efficiency under typical driving conditions.</t>
  </si>
  <si>
    <t>This contributes to overall vehicle efficiencies of 80–90% from battery to wheels, far outperforming ICEs.</t>
  </si>
  <si>
    <t>Real-world impact: A 4% motor efficiency gain can boost range by 10% due to compounding effects in the system.</t>
  </si>
  <si>
    <r>
      <t>Average Internal Combustion Engines</t>
    </r>
    <r>
      <rPr>
        <sz val="11"/>
        <color theme="1"/>
        <rFont val="Aptos Narrow"/>
        <family val="2"/>
        <scheme val="minor"/>
      </rPr>
      <t>: ICEs lose most energy as heat during combustion, exhaust, and pumping losses. Gasoline engines rarely exceed 35% in lab tests, dropping to 20–25% in mixed driving due to idling and acceleration. Modern advancements (e.g., direct injection, turbocharging) push peaks to 38–40%, but fleet averages remain low.</t>
    </r>
  </si>
  <si>
    <t>Why the Difference?</t>
  </si>
  <si>
    <r>
      <t>Electric Motors</t>
    </r>
    <r>
      <rPr>
        <sz val="11"/>
        <color theme="1"/>
        <rFont val="Aptos Narrow"/>
        <family val="2"/>
        <scheme val="minor"/>
      </rPr>
      <t>: No combustion; direct energy conversion with regenerative braking recovering 20–30% of energy.</t>
    </r>
  </si>
  <si>
    <r>
      <t>ICEs</t>
    </r>
    <r>
      <rPr>
        <sz val="11"/>
        <color theme="1"/>
        <rFont val="Aptos Narrow"/>
        <family val="2"/>
        <scheme val="minor"/>
      </rPr>
      <t>: Thermodynamic limits (Carnot cycle) cap efficiency based on combustion temperatures (~2,000°C) vs. exhaust (~600°C), yielding theoretical max ~60%, but practical losses reduce it dramatically.</t>
    </r>
  </si>
  <si>
    <r>
      <t>Overall Vehicle Impact</t>
    </r>
    <r>
      <rPr>
        <sz val="11"/>
        <color theme="1"/>
        <rFont val="Aptos Narrow"/>
        <family val="2"/>
        <scheme val="minor"/>
      </rPr>
      <t>: Well-to-wheel, EVs (including charging losses) achieve 60–70% efficiency vs. 15–25% for gasoline cars, amplifying the motor/ICE gap.</t>
    </r>
  </si>
  <si>
    <r>
      <t xml:space="preserve">In summary, Tesla's electric motors are </t>
    </r>
    <r>
      <rPr>
        <b/>
        <sz val="11"/>
        <color theme="1"/>
        <rFont val="Aptos Narrow"/>
        <family val="2"/>
        <scheme val="minor"/>
      </rPr>
      <t>3–4 times more efficient</t>
    </r>
    <r>
      <rPr>
        <sz val="11"/>
        <color theme="1"/>
        <rFont val="Aptos Narrow"/>
        <family val="2"/>
        <scheme val="minor"/>
      </rPr>
      <t xml:space="preserve"> than an average ICE, enabling longer range per unit of energy and lower emissions. For specific models or diesel comparisons, provide more details!</t>
    </r>
  </si>
  <si>
    <t>Net Savings from Actual</t>
  </si>
  <si>
    <t>How much CO2 1 human exhales over the same number of days that the Tesla was used</t>
  </si>
  <si>
    <t>Percentage CO2 Saved compared to what I exhaled</t>
  </si>
  <si>
    <t>Cost of Gas purchased since owning a Tesla</t>
  </si>
  <si>
    <t>Row Descriptions</t>
  </si>
  <si>
    <t xml:space="preserve"> **Nitrogen**       N₂              </t>
  </si>
  <si>
    <t>BTU's for each 1 KWh</t>
  </si>
  <si>
    <t>Cu Feet of Natural Gas per KWh</t>
  </si>
  <si>
    <t>cu Ft Natural Gas</t>
  </si>
  <si>
    <t>Gas Emission Saved (Lbs)</t>
  </si>
  <si>
    <t>Natural Gas Emission from Electric Power Plant (Lbs)</t>
  </si>
  <si>
    <t>Health Effects of Nitrogen Monoxide (NO) and Nitrogen Dioxide (NO₂)</t>
  </si>
  <si>
    <t>Nitrogen monoxide (NO) and nitrogen dioxide (NO₂), collectively referred to as nitrogen oxides (NOₓ), are air pollutants primarily produced from combustion processes (e.g., vehicle exhaust, power plants, burning natural gas). Their health effects vary due to differences in chemical behavior, with NO₂ being more studied as a pollutant due to its greater reactivity and prevalence in ambient air. Below, I summarize the health effects of each based on data from the U.S. Environmental Protection Agency (EPA), World Health Organization (WHO), and peer-reviewed studies (e.g., via PubMed).</t>
  </si>
  <si>
    <t>Nitrogen Monoxide (NO)</t>
  </si>
  <si>
    <r>
      <t>Overview</t>
    </r>
    <r>
      <rPr>
        <sz val="11"/>
        <color theme="1"/>
        <rFont val="Aptos Narrow"/>
        <family val="2"/>
        <scheme val="minor"/>
      </rPr>
      <t>: NO is a colorless, odorless gas, less reactive than NO₂ in the atmosphere but a precursor to NO₂ formation. It’s less directly harmful at typical environmental levels but contributes to secondary pollutant formation (e.g., ozone, particulate matter).</t>
    </r>
  </si>
  <si>
    <r>
      <t>Health Effects</t>
    </r>
    <r>
      <rPr>
        <sz val="11"/>
        <color theme="1"/>
        <rFont val="Aptos Narrow"/>
        <family val="2"/>
        <scheme val="minor"/>
      </rPr>
      <t>:</t>
    </r>
  </si>
  <si>
    <r>
      <t>Low Exposure (ambient levels, &lt;0.1 ppm)</t>
    </r>
    <r>
      <rPr>
        <sz val="11"/>
        <color theme="1"/>
        <rFont val="Aptos Narrow"/>
        <family val="2"/>
        <scheme val="minor"/>
      </rPr>
      <t>: Minimal direct effects in healthy individuals, as NO is rapidly oxidized to NO₂ in air. However, it can indirectly worsen air quality by contributing to NO₂ and ozone.</t>
    </r>
  </si>
  <si>
    <r>
      <t>High Exposure (e.g., occupational, &gt;1 ppm)</t>
    </r>
    <r>
      <rPr>
        <sz val="11"/>
        <color theme="1"/>
        <rFont val="Aptos Narrow"/>
        <family val="2"/>
        <scheme val="minor"/>
      </rPr>
      <t>:</t>
    </r>
  </si>
  <si>
    <r>
      <t>Respiratory Irritation</t>
    </r>
    <r>
      <rPr>
        <sz val="11"/>
        <color theme="1"/>
        <rFont val="Aptos Narrow"/>
        <family val="2"/>
        <scheme val="minor"/>
      </rPr>
      <t>: Can cause mild irritation of the lungs, throat, and eyes, though less severe than NO₂.</t>
    </r>
  </si>
  <si>
    <r>
      <t>Cardiovascular Effects</t>
    </r>
    <r>
      <rPr>
        <sz val="11"/>
        <color theme="1"/>
        <rFont val="Aptos Narrow"/>
        <family val="2"/>
        <scheme val="minor"/>
      </rPr>
      <t>: At high concentrations, NO can bind to hemoglobin, reducing oxygen transport (forming methemoglobin), potentially causing dizziness or shortness of breath in extreme cases.</t>
    </r>
  </si>
  <si>
    <r>
      <t>Immune Response</t>
    </r>
    <r>
      <rPr>
        <sz val="11"/>
        <color theme="1"/>
        <rFont val="Aptos Narrow"/>
        <family val="2"/>
        <scheme val="minor"/>
      </rPr>
      <t>: May suppress immune function in the lungs, increasing susceptibility to infections (e.g., per animal studies).</t>
    </r>
  </si>
  <si>
    <r>
      <t>Vulnerable Groups</t>
    </r>
    <r>
      <rPr>
        <sz val="11"/>
        <color theme="1"/>
        <rFont val="Aptos Narrow"/>
        <family val="2"/>
        <scheme val="minor"/>
      </rPr>
      <t>: Asthmatics, children, and those with preexisting respiratory conditions may experience exacerbated symptoms even at moderate levels.</t>
    </r>
  </si>
  <si>
    <r>
      <t>Evidence</t>
    </r>
    <r>
      <rPr>
        <sz val="11"/>
        <color theme="1"/>
        <rFont val="Aptos Narrow"/>
        <family val="2"/>
        <scheme val="minor"/>
      </rPr>
      <t>: Limited human studies on NO alone (due to its conversion to NO₂), but occupational exposure data (e.g., NIOSH) show effects at high doses (e.g., &gt;100 ppm in industrial settings).</t>
    </r>
  </si>
  <si>
    <t>Nitrogen Dioxide (NO₂)</t>
  </si>
  <si>
    <r>
      <t>Overview</t>
    </r>
    <r>
      <rPr>
        <sz val="11"/>
        <color theme="1"/>
        <rFont val="Aptos Narrow"/>
        <family val="2"/>
        <scheme val="minor"/>
      </rPr>
      <t>: NO₂ is a reddish-brown gas with a pungent odor, more reactive and toxic than NO. It’s a primary pollutant in urban air, linked to vehicle emissions and fossil fuel combustion (e.g., natural gas burning).</t>
    </r>
  </si>
  <si>
    <r>
      <t>Short-Term Exposure (e.g., 0.1–1 ppm, hours to days)</t>
    </r>
    <r>
      <rPr>
        <sz val="11"/>
        <color theme="1"/>
        <rFont val="Aptos Narrow"/>
        <family val="2"/>
        <scheme val="minor"/>
      </rPr>
      <t>:</t>
    </r>
  </si>
  <si>
    <r>
      <t>Respiratory Effects</t>
    </r>
    <r>
      <rPr>
        <sz val="11"/>
        <color theme="1"/>
        <rFont val="Aptos Narrow"/>
        <family val="2"/>
        <scheme val="minor"/>
      </rPr>
      <t>: Irritates the respiratory tract, causing coughing, wheezing, and shortness of breath. Asthmatics are particularly sensitive, with studies showing increased airway responsiveness at 0.2–0.6 ppm (EPA, 2016).</t>
    </r>
  </si>
  <si>
    <r>
      <t>Lung Function</t>
    </r>
    <r>
      <rPr>
        <sz val="11"/>
        <color theme="1"/>
        <rFont val="Aptos Narrow"/>
        <family val="2"/>
        <scheme val="minor"/>
      </rPr>
      <t>: Reduces lung function (e.g., forced expiratory volume) in children and adults, especially during exercise when inhalation rates are higher.</t>
    </r>
  </si>
  <si>
    <r>
      <t>Inflammation</t>
    </r>
    <r>
      <rPr>
        <sz val="11"/>
        <color theme="1"/>
        <rFont val="Aptos Narrow"/>
        <family val="2"/>
        <scheme val="minor"/>
      </rPr>
      <t>: Triggers airway inflammation, potentially worsening chronic conditions like asthma or COPD.</t>
    </r>
  </si>
  <si>
    <r>
      <t>Long-Term Exposure (e.g., &gt;0.02 ppm annually)</t>
    </r>
    <r>
      <rPr>
        <sz val="11"/>
        <color theme="1"/>
        <rFont val="Aptos Narrow"/>
        <family val="2"/>
        <scheme val="minor"/>
      </rPr>
      <t>:</t>
    </r>
  </si>
  <si>
    <r>
      <t>Chronic Respiratory Disease</t>
    </r>
    <r>
      <rPr>
        <sz val="11"/>
        <color theme="1"/>
        <rFont val="Aptos Narrow"/>
        <family val="2"/>
        <scheme val="minor"/>
      </rPr>
      <t>: Linked to increased risk of asthma development in children and chronic bronchitis in adults (WHO, 2021).</t>
    </r>
  </si>
  <si>
    <r>
      <t>Cardiovascular Risks</t>
    </r>
    <r>
      <rPr>
        <sz val="11"/>
        <color theme="1"/>
        <rFont val="Aptos Narrow"/>
        <family val="2"/>
        <scheme val="minor"/>
      </rPr>
      <t>: Associated with increased risk of heart disease, as NO₂ contributes to systemic inflammation and oxidative stress (e.g., American Heart Association studies).</t>
    </r>
  </si>
  <si>
    <r>
      <t>Mortality</t>
    </r>
    <r>
      <rPr>
        <sz val="11"/>
        <color theme="1"/>
        <rFont val="Aptos Narrow"/>
        <family val="2"/>
        <scheme val="minor"/>
      </rPr>
      <t xml:space="preserve">: Long-term exposure correlates with higher all-cause mortality, particularly from respiratory and cardiovascular causes (meta-analyses in </t>
    </r>
    <r>
      <rPr>
        <i/>
        <sz val="11"/>
        <color theme="1"/>
        <rFont val="Aptos Narrow"/>
        <family val="2"/>
        <scheme val="minor"/>
      </rPr>
      <t>The Lancet</t>
    </r>
    <r>
      <rPr>
        <sz val="11"/>
        <color theme="1"/>
        <rFont val="Aptos Narrow"/>
        <family val="2"/>
        <scheme val="minor"/>
      </rPr>
      <t>).</t>
    </r>
  </si>
  <si>
    <r>
      <t>Other Effects</t>
    </r>
    <r>
      <rPr>
        <sz val="11"/>
        <color theme="1"/>
        <rFont val="Aptos Narrow"/>
        <family val="2"/>
        <scheme val="minor"/>
      </rPr>
      <t>:</t>
    </r>
  </si>
  <si>
    <r>
      <t>Immune System</t>
    </r>
    <r>
      <rPr>
        <sz val="11"/>
        <color theme="1"/>
        <rFont val="Aptos Narrow"/>
        <family val="2"/>
        <scheme val="minor"/>
      </rPr>
      <t>: May impair immune defenses, increasing susceptibility to respiratory infections (e.g., pneumonia, influenza).</t>
    </r>
  </si>
  <si>
    <r>
      <t>Allergies</t>
    </r>
    <r>
      <rPr>
        <sz val="11"/>
        <color theme="1"/>
        <rFont val="Aptos Narrow"/>
        <family val="2"/>
        <scheme val="minor"/>
      </rPr>
      <t>: Can enhance allergic responses, exacerbating conditions like allergic rhinitis.</t>
    </r>
  </si>
  <si>
    <r>
      <t>Vulnerable Groups</t>
    </r>
    <r>
      <rPr>
        <sz val="11"/>
        <color theme="1"/>
        <rFont val="Aptos Narrow"/>
        <family val="2"/>
        <scheme val="minor"/>
      </rPr>
      <t>: Children, elderly, asthmatics, and those with heart/lung conditions face higher risks. Low-income communities near traffic or industrial sources are disproportionately affected due to higher exposure.</t>
    </r>
  </si>
  <si>
    <t>Exposure Context</t>
  </si>
  <si>
    <r>
      <t>Ambient Levels</t>
    </r>
    <r>
      <rPr>
        <sz val="11"/>
        <color theme="1"/>
        <rFont val="Aptos Narrow"/>
        <family val="2"/>
        <scheme val="minor"/>
      </rPr>
      <t>: Typical urban NO₂ levels are 0.01–0.05 ppm (EPA NAAQS standard: 0.053 ppm annual average, 0.1 ppm 1-hour max). NO levels are lower and less monitored directly.</t>
    </r>
  </si>
  <si>
    <r>
      <t>Indoor Sources</t>
    </r>
    <r>
      <rPr>
        <sz val="11"/>
        <color theme="1"/>
        <rFont val="Aptos Narrow"/>
        <family val="2"/>
        <scheme val="minor"/>
      </rPr>
      <t>: Natural gas appliances (e.g., stoves, heaters) can produce NO and NO₂, with indoor NO₂ peaks reaching 0.2–0.4 ppm if unvented (EPA, CDC).</t>
    </r>
  </si>
  <si>
    <r>
      <t>Health Thresholds</t>
    </r>
    <r>
      <rPr>
        <sz val="11"/>
        <color theme="1"/>
        <rFont val="Aptos Narrow"/>
        <family val="2"/>
        <scheme val="minor"/>
      </rPr>
      <t>: WHO guidelines suggest NO₂ annual averages below 0.021 ppm (40 µg/m³) to minimize health risks. NO has no specific guideline due to its indirect role.</t>
    </r>
  </si>
  <si>
    <t>Substantiation</t>
  </si>
  <si>
    <r>
      <t>EPA (2016)</t>
    </r>
    <r>
      <rPr>
        <sz val="11"/>
        <color theme="1"/>
        <rFont val="Aptos Narrow"/>
        <family val="2"/>
        <scheme val="minor"/>
      </rPr>
      <t>: Integrated Science Assessment for NOₓ confirms NO₂’s role in respiratory morbidity, with stronger evidence for short-term effects.</t>
    </r>
  </si>
  <si>
    <r>
      <t>WHO (2021)</t>
    </r>
    <r>
      <rPr>
        <sz val="11"/>
        <color theme="1"/>
        <rFont val="Aptos Narrow"/>
        <family val="2"/>
        <scheme val="minor"/>
      </rPr>
      <t>: Air Quality Guidelines link NO₂ to asthma incidence and cardiovascular risks, with less data on NO alone.</t>
    </r>
  </si>
  <si>
    <r>
      <t>Studies</t>
    </r>
    <r>
      <rPr>
        <sz val="11"/>
        <color theme="1"/>
        <rFont val="Aptos Narrow"/>
        <family val="2"/>
        <scheme val="minor"/>
      </rPr>
      <t xml:space="preserve">: A 2020 </t>
    </r>
    <r>
      <rPr>
        <i/>
        <sz val="11"/>
        <color theme="1"/>
        <rFont val="Aptos Narrow"/>
        <family val="2"/>
        <scheme val="minor"/>
      </rPr>
      <t>Environmental Health Perspectives</t>
    </r>
    <r>
      <rPr>
        <sz val="11"/>
        <color theme="1"/>
        <rFont val="Aptos Narrow"/>
        <family val="2"/>
        <scheme val="minor"/>
      </rPr>
      <t xml:space="preserve"> review found NO₂ exposure increases asthma emergency visits by 5–10% per 0.01 ppm increase.</t>
    </r>
  </si>
  <si>
    <t>Final Answer</t>
  </si>
  <si>
    <r>
      <t>NO</t>
    </r>
    <r>
      <rPr>
        <sz val="11"/>
        <color theme="1"/>
        <rFont val="Aptos Narrow"/>
        <family val="2"/>
        <scheme val="minor"/>
      </rPr>
      <t>: Minimal direct health effects at ambient levels; high exposures cause respiratory irritation, reduced oxygen transport, and immune suppression. It’s a precursor to NO₂ and ozone, indirectly worsening air quality.</t>
    </r>
  </si>
  <si>
    <r>
      <t>NO₂</t>
    </r>
    <r>
      <rPr>
        <sz val="11"/>
        <color theme="1"/>
        <rFont val="Aptos Narrow"/>
        <family val="2"/>
        <scheme val="minor"/>
      </rPr>
      <t>: Causes significant respiratory irritation, reduced lung function, and inflammation even at low levels (0.1–0.6 ppm). Long-term exposure increases risks of asthma, chronic lung disease, heart disease, and mortality. Children, asthmatics, and the elderly are most vulnerable.</t>
    </r>
  </si>
  <si>
    <t>For specific exposure scenarios (e.g., indoor natural gas use), provide details, and I can estimate risks further. Check EPA’s AirNow or WHO guidelines for more.</t>
  </si>
  <si>
    <t>Gas Purchased (All of 2025)</t>
  </si>
  <si>
    <t>Scenario Miles Driven</t>
  </si>
  <si>
    <t>Chemical composition of fossil fuels and chemical emissions which are harmful to health and environment</t>
  </si>
  <si>
    <t>Gasoline CO2</t>
  </si>
  <si>
    <t>Natural Gas CO2</t>
  </si>
  <si>
    <t>Gasoline H2O</t>
  </si>
  <si>
    <t>Natural Gas H2O</t>
  </si>
  <si>
    <t>Natural Gas Emission</t>
  </si>
  <si>
    <t>Gasoline Emission</t>
  </si>
  <si>
    <t>Pounds of Emiassions for Scenario</t>
  </si>
  <si>
    <t>Chemical Component</t>
  </si>
  <si>
    <t>Gasoline N2</t>
  </si>
  <si>
    <t>Natural Gas N2</t>
  </si>
  <si>
    <t>Bill To Date</t>
  </si>
  <si>
    <t>Cost Per Day</t>
  </si>
  <si>
    <t>hours</t>
  </si>
  <si>
    <t>Gross pay</t>
  </si>
  <si>
    <t>Hrly rate</t>
  </si>
  <si>
    <t>deduction %</t>
  </si>
  <si>
    <t>per hour</t>
  </si>
  <si>
    <t>9/28/2025 - 10/4/2025</t>
  </si>
  <si>
    <t>Sum of Super Charger KWh</t>
  </si>
  <si>
    <t>Sum of Home KWh</t>
  </si>
  <si>
    <t>Average of Miles per KWh</t>
  </si>
  <si>
    <t>Sum of Charge Cost Home</t>
  </si>
  <si>
    <t>Start Date</t>
  </si>
  <si>
    <t>End  Date</t>
  </si>
  <si>
    <t>10/5/2025 - 10/11/2025</t>
  </si>
  <si>
    <t>Bill From Date</t>
  </si>
  <si>
    <t>Home Charge KWh</t>
  </si>
  <si>
    <t>Billed KWh Used</t>
  </si>
  <si>
    <t>Bill Service Days</t>
  </si>
  <si>
    <t>Billed Price per KW</t>
  </si>
  <si>
    <t>Home Car Charge Cost KWh</t>
  </si>
  <si>
    <t>Tesla App</t>
  </si>
  <si>
    <t>Compare cost of KWh / Gallon of Gas (Home)</t>
  </si>
  <si>
    <t>10/12/2025 - 10/18/2025</t>
  </si>
  <si>
    <t xml:space="preserve">**Nitrogen**       N₂              </t>
  </si>
  <si>
    <t>10/19/2025 - 10/25/2025</t>
  </si>
  <si>
    <t>10/26/2025 - 11/1/2025</t>
  </si>
  <si>
    <t>11/2/2025 - 11/8/2025</t>
  </si>
  <si>
    <t>11/9/2025 - 11/15/2025</t>
  </si>
  <si>
    <t>11/16/2025 - 11/22/2025</t>
  </si>
  <si>
    <t>11/23/2025 - 11/29/2025</t>
  </si>
  <si>
    <t>11/30/2025 - 12/6/2025</t>
  </si>
  <si>
    <t>12/7/2025 - 12/13/2025</t>
  </si>
  <si>
    <t>12/14/2025 - 12/20/2025</t>
  </si>
  <si>
    <t>12/21/2025 - 12/27/2025</t>
  </si>
  <si>
    <t>12/28/2025 - 1/3/2026</t>
  </si>
  <si>
    <t>1/4/2026 - 1/10/2026</t>
  </si>
  <si>
    <t>1/11/2026 - 1/15/2026</t>
  </si>
  <si>
    <t>To update the scenario change Miles Driven in the Emissions Savings Worksheet &gt;&gt;&gt;&gt;&gt;&gt;&gt;&gt;&gt;&gt;&gt;!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</si>
</sst>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_(* #,##0.0_);_(* \(#,##0.0\);_(* &quot;-&quot;??_);_(@_)"/>
    <numFmt numFmtId="165" formatCode="_(* #,##0_);_(* \(#,##0\);_(* &quot;-&quot;??_);_(@_)"/>
    <numFmt numFmtId="166" formatCode="_(* #,##0.0000_);_(* \(#,##0.0000\);_(* &quot;-&quot;??_);_(@_)"/>
    <numFmt numFmtId="167" formatCode="_(* #,##0.000_);_(* \(#,##0.000\);_(* &quot;-&quot;??_);_(@_)"/>
    <numFmt numFmtId="168" formatCode="_(* #,##0.000000_);_(* \(#,##0.000000\);_(* &quot;-&quot;??_);_(@_)"/>
    <numFmt numFmtId="169" formatCode="_(* #,##0.0000000000_);_(* \(#,##0.0000000000\);_(* &quot;-&quot;??_);_(@_)"/>
    <numFmt numFmtId="170" formatCode="[$-409]mmmm\-yy;@"/>
  </numFmts>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b/>
      <sz val="18"/>
      <color theme="1"/>
      <name val="Aptos Narrow"/>
      <family val="2"/>
      <scheme val="minor"/>
    </font>
    <font>
      <b/>
      <sz val="13.5"/>
      <color theme="1"/>
      <name val="Aptos Narrow"/>
      <family val="2"/>
      <scheme val="minor"/>
    </font>
    <font>
      <sz val="11"/>
      <name val="Aptos Narrow"/>
      <family val="2"/>
      <scheme val="minor"/>
    </font>
    <font>
      <b/>
      <sz val="11"/>
      <name val="Aptos Narrow"/>
      <family val="2"/>
      <scheme val="minor"/>
    </font>
    <font>
      <sz val="11"/>
      <color rgb="FFC00000"/>
      <name val="Aptos Narrow"/>
      <family val="2"/>
      <scheme val="minor"/>
    </font>
    <font>
      <b/>
      <sz val="12"/>
      <color theme="1"/>
      <name val="Aptos Narrow"/>
      <family val="2"/>
      <scheme val="minor"/>
    </font>
    <font>
      <i/>
      <sz val="11"/>
      <color theme="1"/>
      <name val="Aptos Narrow"/>
      <family val="2"/>
      <scheme val="minor"/>
    </font>
    <font>
      <sz val="14"/>
      <color rgb="FF595959"/>
      <name val="Aptos Narrow"/>
      <family val="2"/>
      <scheme val="minor"/>
    </font>
    <font>
      <sz val="8"/>
      <name val="Aptos Narrow"/>
      <family val="2"/>
      <scheme val="minor"/>
    </font>
  </fonts>
  <fills count="19">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6"/>
        <bgColor indexed="64"/>
      </patternFill>
    </fill>
    <fill>
      <patternFill patternType="solid">
        <fgColor rgb="FF00B050"/>
        <bgColor indexed="64"/>
      </patternFill>
    </fill>
    <fill>
      <patternFill patternType="solid">
        <fgColor rgb="FF92D050"/>
        <bgColor indexed="64"/>
      </patternFill>
    </fill>
    <fill>
      <patternFill patternType="solid">
        <fgColor theme="0" tint="-0.249977111117893"/>
        <bgColor indexed="64"/>
      </patternFill>
    </fill>
    <fill>
      <patternFill patternType="solid">
        <fgColor theme="5"/>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9" tint="0.59999389629810485"/>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double">
        <color indexed="64"/>
      </bottom>
      <diagonal/>
    </border>
    <border>
      <left style="thin">
        <color indexed="64"/>
      </left>
      <right style="thin">
        <color indexed="64"/>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204">
    <xf numFmtId="0" fontId="0" fillId="0" borderId="0" xfId="0"/>
    <xf numFmtId="14" fontId="0" fillId="0" borderId="0" xfId="0" applyNumberFormat="1"/>
    <xf numFmtId="0" fontId="0" fillId="0" borderId="0" xfId="0" applyAlignment="1">
      <alignment wrapText="1"/>
    </xf>
    <xf numFmtId="43" fontId="0" fillId="0" borderId="0" xfId="1" applyFont="1"/>
    <xf numFmtId="43" fontId="0" fillId="2" borderId="1" xfId="1" applyFont="1" applyFill="1" applyBorder="1"/>
    <xf numFmtId="9" fontId="2" fillId="0" borderId="0" xfId="2" applyFont="1" applyAlignment="1">
      <alignment wrapText="1"/>
    </xf>
    <xf numFmtId="2" fontId="0" fillId="0" borderId="0" xfId="0" applyNumberFormat="1"/>
    <xf numFmtId="43" fontId="2" fillId="0" borderId="0" xfId="1" applyFont="1" applyAlignment="1">
      <alignment wrapText="1"/>
    </xf>
    <xf numFmtId="9" fontId="0" fillId="0" borderId="0" xfId="2" applyFont="1"/>
    <xf numFmtId="0" fontId="0" fillId="8" borderId="0" xfId="0" applyFill="1"/>
    <xf numFmtId="43" fontId="2" fillId="7" borderId="2" xfId="1" applyFont="1" applyFill="1" applyBorder="1" applyAlignment="1">
      <alignment wrapText="1"/>
    </xf>
    <xf numFmtId="9" fontId="2" fillId="7" borderId="2" xfId="2" applyFont="1" applyFill="1" applyBorder="1" applyAlignment="1">
      <alignment wrapText="1"/>
    </xf>
    <xf numFmtId="0" fontId="0" fillId="0" borderId="0" xfId="0" pivotButton="1"/>
    <xf numFmtId="0" fontId="0" fillId="0" borderId="0" xfId="0" applyAlignment="1">
      <alignment horizontal="left"/>
    </xf>
    <xf numFmtId="43" fontId="0" fillId="0" borderId="0" xfId="0" applyNumberFormat="1"/>
    <xf numFmtId="166" fontId="0" fillId="0" borderId="0" xfId="1" applyNumberFormat="1" applyFont="1"/>
    <xf numFmtId="18" fontId="0" fillId="2" borderId="1" xfId="0" applyNumberFormat="1" applyFill="1" applyBorder="1"/>
    <xf numFmtId="44" fontId="0" fillId="0" borderId="0" xfId="3" applyFont="1"/>
    <xf numFmtId="0" fontId="2" fillId="0" borderId="0" xfId="0" applyFont="1"/>
    <xf numFmtId="0" fontId="0" fillId="7" borderId="0" xfId="0" applyFill="1"/>
    <xf numFmtId="0" fontId="2" fillId="7" borderId="0" xfId="0" applyFont="1" applyFill="1"/>
    <xf numFmtId="0" fontId="0" fillId="0" borderId="0" xfId="0" applyAlignment="1">
      <alignment vertical="center"/>
    </xf>
    <xf numFmtId="0" fontId="5"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6" fillId="0" borderId="0" xfId="0" applyFont="1" applyAlignment="1">
      <alignment vertical="center"/>
    </xf>
    <xf numFmtId="0" fontId="2" fillId="0" borderId="0" xfId="0" applyFont="1" applyAlignment="1">
      <alignment horizontal="left" vertical="center" indent="1"/>
    </xf>
    <xf numFmtId="0" fontId="2" fillId="0" borderId="6" xfId="0" applyFont="1" applyBorder="1"/>
    <xf numFmtId="0" fontId="0" fillId="9" borderId="0" xfId="0" applyFill="1" applyAlignment="1">
      <alignment horizontal="left" vertical="center" indent="1"/>
    </xf>
    <xf numFmtId="0" fontId="0" fillId="9" borderId="0" xfId="0" applyFill="1"/>
    <xf numFmtId="43" fontId="2" fillId="9" borderId="0" xfId="1" applyFont="1" applyFill="1" applyBorder="1"/>
    <xf numFmtId="167" fontId="3" fillId="10" borderId="0" xfId="1" applyNumberFormat="1" applyFont="1" applyFill="1" applyAlignment="1">
      <alignment vertical="center" wrapText="1"/>
    </xf>
    <xf numFmtId="167" fontId="2" fillId="0" borderId="0" xfId="1" applyNumberFormat="1" applyFont="1" applyAlignment="1">
      <alignment vertical="center" wrapText="1"/>
    </xf>
    <xf numFmtId="167" fontId="2" fillId="9" borderId="0" xfId="1" applyNumberFormat="1" applyFont="1" applyFill="1" applyAlignment="1">
      <alignment vertical="center" wrapText="1"/>
    </xf>
    <xf numFmtId="167" fontId="2" fillId="7" borderId="6" xfId="1" applyNumberFormat="1" applyFont="1" applyFill="1" applyBorder="1"/>
    <xf numFmtId="167" fontId="2" fillId="9" borderId="0" xfId="1" applyNumberFormat="1" applyFont="1" applyFill="1" applyBorder="1"/>
    <xf numFmtId="43" fontId="2" fillId="7" borderId="0" xfId="1" applyFont="1" applyFill="1" applyBorder="1"/>
    <xf numFmtId="0" fontId="0" fillId="0" borderId="0" xfId="0" applyAlignment="1">
      <alignment horizontal="left" vertical="center" indent="2"/>
    </xf>
    <xf numFmtId="9" fontId="0" fillId="11" borderId="0" xfId="2" applyFont="1" applyFill="1"/>
    <xf numFmtId="9" fontId="0" fillId="0" borderId="0" xfId="0" applyNumberFormat="1"/>
    <xf numFmtId="43" fontId="2" fillId="0" borderId="0" xfId="1" applyFont="1" applyFill="1" applyBorder="1"/>
    <xf numFmtId="168" fontId="2" fillId="7" borderId="6" xfId="1" applyNumberFormat="1" applyFont="1" applyFill="1" applyBorder="1"/>
    <xf numFmtId="169" fontId="3" fillId="10" borderId="0" xfId="1" applyNumberFormat="1" applyFont="1" applyFill="1" applyAlignment="1">
      <alignment vertical="center" wrapText="1"/>
    </xf>
    <xf numFmtId="169" fontId="0" fillId="0" borderId="0" xfId="1" applyNumberFormat="1" applyFont="1"/>
    <xf numFmtId="169" fontId="2" fillId="9" borderId="0" xfId="1" applyNumberFormat="1" applyFont="1" applyFill="1" applyAlignment="1">
      <alignment vertical="center" wrapText="1"/>
    </xf>
    <xf numFmtId="169" fontId="2" fillId="7" borderId="6" xfId="1" applyNumberFormat="1" applyFont="1" applyFill="1" applyBorder="1"/>
    <xf numFmtId="169" fontId="2" fillId="9" borderId="0" xfId="1" applyNumberFormat="1" applyFont="1" applyFill="1" applyBorder="1"/>
    <xf numFmtId="0" fontId="2" fillId="0" borderId="7" xfId="0" applyFont="1" applyBorder="1" applyAlignment="1">
      <alignment wrapText="1"/>
    </xf>
    <xf numFmtId="0" fontId="0" fillId="0" borderId="8" xfId="0" applyBorder="1"/>
    <xf numFmtId="43" fontId="0" fillId="0" borderId="9" xfId="1" applyFont="1" applyBorder="1"/>
    <xf numFmtId="43" fontId="2" fillId="7" borderId="9" xfId="1" applyFont="1" applyFill="1" applyBorder="1"/>
    <xf numFmtId="43" fontId="2" fillId="0" borderId="9" xfId="1" applyFont="1" applyFill="1" applyBorder="1"/>
    <xf numFmtId="43" fontId="2" fillId="9" borderId="9" xfId="1" applyFont="1" applyFill="1" applyBorder="1"/>
    <xf numFmtId="43" fontId="4" fillId="10" borderId="10" xfId="1" applyFont="1" applyFill="1" applyBorder="1"/>
    <xf numFmtId="43" fontId="0" fillId="0" borderId="13" xfId="0" applyNumberFormat="1" applyBorder="1" applyAlignment="1">
      <alignment wrapText="1"/>
    </xf>
    <xf numFmtId="43" fontId="0" fillId="0" borderId="14" xfId="1" applyFont="1" applyBorder="1"/>
    <xf numFmtId="43" fontId="2" fillId="7" borderId="14" xfId="1" applyFont="1" applyFill="1" applyBorder="1"/>
    <xf numFmtId="43" fontId="2" fillId="0" borderId="14" xfId="1" applyFont="1" applyFill="1" applyBorder="1"/>
    <xf numFmtId="43" fontId="2" fillId="9" borderId="14" xfId="1" applyFont="1" applyFill="1" applyBorder="1"/>
    <xf numFmtId="43" fontId="4" fillId="10" borderId="15" xfId="1" applyFont="1" applyFill="1" applyBorder="1"/>
    <xf numFmtId="0" fontId="2" fillId="0" borderId="17" xfId="0" applyFont="1" applyBorder="1" applyAlignment="1">
      <alignment wrapText="1"/>
    </xf>
    <xf numFmtId="43" fontId="0" fillId="0" borderId="18" xfId="0" applyNumberFormat="1" applyBorder="1" applyAlignment="1">
      <alignment wrapText="1"/>
    </xf>
    <xf numFmtId="43" fontId="0" fillId="0" borderId="19" xfId="1" applyFont="1" applyBorder="1"/>
    <xf numFmtId="43" fontId="2" fillId="7" borderId="19" xfId="1" applyFont="1" applyFill="1" applyBorder="1"/>
    <xf numFmtId="43" fontId="2" fillId="0" borderId="19" xfId="1" applyFont="1" applyFill="1" applyBorder="1"/>
    <xf numFmtId="43" fontId="2" fillId="9" borderId="19" xfId="1" applyFont="1" applyFill="1" applyBorder="1"/>
    <xf numFmtId="43" fontId="4" fillId="10" borderId="20" xfId="1" applyFont="1" applyFill="1" applyBorder="1"/>
    <xf numFmtId="0" fontId="2" fillId="0" borderId="24" xfId="0" applyFont="1" applyBorder="1" applyAlignment="1">
      <alignment wrapText="1"/>
    </xf>
    <xf numFmtId="0" fontId="2" fillId="0" borderId="25" xfId="0" applyFont="1" applyBorder="1" applyAlignment="1">
      <alignment wrapText="1"/>
    </xf>
    <xf numFmtId="0" fontId="2" fillId="0" borderId="27" xfId="0" applyFont="1" applyBorder="1" applyAlignment="1">
      <alignment wrapText="1"/>
    </xf>
    <xf numFmtId="0" fontId="0" fillId="0" borderId="28" xfId="0" applyBorder="1" applyAlignment="1">
      <alignment wrapText="1"/>
    </xf>
    <xf numFmtId="43" fontId="0" fillId="0" borderId="0" xfId="1" applyFont="1" applyBorder="1"/>
    <xf numFmtId="43" fontId="4" fillId="10" borderId="29" xfId="1" applyFont="1" applyFill="1" applyBorder="1"/>
    <xf numFmtId="0" fontId="0" fillId="0" borderId="11" xfId="0" applyBorder="1" applyAlignment="1">
      <alignment wrapText="1"/>
    </xf>
    <xf numFmtId="43" fontId="7" fillId="0" borderId="11" xfId="1" applyFont="1" applyFill="1" applyBorder="1"/>
    <xf numFmtId="43" fontId="8" fillId="0" borderId="11" xfId="1" applyFont="1" applyFill="1" applyBorder="1"/>
    <xf numFmtId="43" fontId="7" fillId="0" borderId="12" xfId="1" applyFont="1" applyFill="1" applyBorder="1"/>
    <xf numFmtId="0" fontId="2" fillId="0" borderId="31" xfId="0" applyFont="1" applyBorder="1" applyAlignment="1">
      <alignment wrapText="1"/>
    </xf>
    <xf numFmtId="44" fontId="0" fillId="12" borderId="32" xfId="3" applyFont="1" applyFill="1" applyBorder="1"/>
    <xf numFmtId="44" fontId="0" fillId="12" borderId="31" xfId="3" applyFont="1" applyFill="1" applyBorder="1"/>
    <xf numFmtId="0" fontId="0" fillId="12" borderId="21" xfId="0" applyFill="1" applyBorder="1" applyAlignment="1">
      <alignment wrapText="1"/>
    </xf>
    <xf numFmtId="0" fontId="0" fillId="0" borderId="34" xfId="0" applyBorder="1"/>
    <xf numFmtId="0" fontId="2" fillId="0" borderId="35" xfId="0" applyFont="1" applyBorder="1" applyAlignment="1">
      <alignment wrapText="1"/>
    </xf>
    <xf numFmtId="0" fontId="0" fillId="0" borderId="30" xfId="0" applyBorder="1" applyAlignment="1">
      <alignment wrapText="1"/>
    </xf>
    <xf numFmtId="168" fontId="3" fillId="10" borderId="19" xfId="1" applyNumberFormat="1" applyFont="1" applyFill="1" applyBorder="1" applyAlignment="1">
      <alignment vertical="center" wrapText="1"/>
    </xf>
    <xf numFmtId="168" fontId="3" fillId="10" borderId="0" xfId="1" applyNumberFormat="1" applyFont="1" applyFill="1" applyBorder="1" applyAlignment="1">
      <alignment vertical="center" wrapText="1"/>
    </xf>
    <xf numFmtId="167" fontId="3" fillId="10" borderId="0" xfId="1" applyNumberFormat="1" applyFont="1" applyFill="1" applyBorder="1" applyAlignment="1">
      <alignment vertical="center" wrapText="1"/>
    </xf>
    <xf numFmtId="168" fontId="0" fillId="0" borderId="19" xfId="1" applyNumberFormat="1" applyFont="1" applyBorder="1"/>
    <xf numFmtId="168" fontId="0" fillId="0" borderId="0" xfId="1" applyNumberFormat="1" applyFont="1" applyBorder="1"/>
    <xf numFmtId="167" fontId="2" fillId="0" borderId="0" xfId="1" applyNumberFormat="1" applyFont="1" applyBorder="1" applyAlignment="1">
      <alignment vertical="center" wrapText="1"/>
    </xf>
    <xf numFmtId="168" fontId="2" fillId="9" borderId="19" xfId="1" applyNumberFormat="1" applyFont="1" applyFill="1" applyBorder="1" applyAlignment="1">
      <alignment vertical="center" wrapText="1"/>
    </xf>
    <xf numFmtId="168" fontId="2" fillId="9" borderId="0" xfId="1" applyNumberFormat="1" applyFont="1" applyFill="1" applyBorder="1" applyAlignment="1">
      <alignment vertical="center" wrapText="1"/>
    </xf>
    <xf numFmtId="167" fontId="2" fillId="9" borderId="0" xfId="1" applyNumberFormat="1" applyFont="1" applyFill="1" applyBorder="1" applyAlignment="1">
      <alignment vertical="center" wrapText="1"/>
    </xf>
    <xf numFmtId="168" fontId="2" fillId="7" borderId="36" xfId="1" applyNumberFormat="1" applyFont="1" applyFill="1" applyBorder="1"/>
    <xf numFmtId="168" fontId="2" fillId="9" borderId="4" xfId="1" applyNumberFormat="1" applyFont="1" applyFill="1" applyBorder="1"/>
    <xf numFmtId="168" fontId="2" fillId="9" borderId="33" xfId="1" applyNumberFormat="1" applyFont="1" applyFill="1" applyBorder="1"/>
    <xf numFmtId="167" fontId="2" fillId="9" borderId="33" xfId="1" applyNumberFormat="1" applyFont="1" applyFill="1" applyBorder="1"/>
    <xf numFmtId="0" fontId="2" fillId="0" borderId="7" xfId="0" applyFont="1" applyBorder="1" applyAlignment="1">
      <alignment vertical="center" wrapText="1"/>
    </xf>
    <xf numFmtId="0" fontId="2" fillId="0" borderId="37" xfId="0" applyFont="1" applyBorder="1" applyAlignment="1">
      <alignment vertical="center" wrapText="1"/>
    </xf>
    <xf numFmtId="0" fontId="2" fillId="0" borderId="3" xfId="0" applyFont="1" applyBorder="1" applyAlignment="1">
      <alignment vertical="center" wrapText="1"/>
    </xf>
    <xf numFmtId="0" fontId="8" fillId="13" borderId="1" xfId="0" applyFont="1" applyFill="1" applyBorder="1" applyAlignment="1">
      <alignment horizontal="center"/>
    </xf>
    <xf numFmtId="0" fontId="8" fillId="13" borderId="1" xfId="0" applyFont="1" applyFill="1" applyBorder="1"/>
    <xf numFmtId="44" fontId="0" fillId="12" borderId="0" xfId="3" applyFont="1" applyFill="1" applyBorder="1"/>
    <xf numFmtId="0" fontId="0" fillId="12" borderId="0" xfId="0" applyFill="1" applyAlignment="1">
      <alignment wrapText="1"/>
    </xf>
    <xf numFmtId="165" fontId="0" fillId="12" borderId="0" xfId="1" applyNumberFormat="1" applyFont="1" applyFill="1" applyBorder="1"/>
    <xf numFmtId="0" fontId="10" fillId="0" borderId="0" xfId="0" applyFont="1" applyAlignment="1">
      <alignment vertical="center"/>
    </xf>
    <xf numFmtId="9" fontId="0" fillId="2" borderId="1" xfId="2" applyFont="1" applyFill="1" applyBorder="1"/>
    <xf numFmtId="165" fontId="0" fillId="2" borderId="1" xfId="1" applyNumberFormat="1" applyFont="1" applyFill="1" applyBorder="1"/>
    <xf numFmtId="166" fontId="0" fillId="2" borderId="1" xfId="1" applyNumberFormat="1" applyFont="1" applyFill="1" applyBorder="1"/>
    <xf numFmtId="0" fontId="2" fillId="0" borderId="26" xfId="0" applyFont="1" applyBorder="1" applyAlignment="1">
      <alignment wrapText="1"/>
    </xf>
    <xf numFmtId="166" fontId="7" fillId="0" borderId="0" xfId="1" applyNumberFormat="1" applyFont="1" applyFill="1" applyBorder="1" applyAlignment="1">
      <alignment vertical="center" wrapText="1"/>
    </xf>
    <xf numFmtId="168" fontId="7" fillId="0" borderId="0" xfId="1" applyNumberFormat="1" applyFont="1" applyFill="1" applyBorder="1"/>
    <xf numFmtId="168" fontId="7" fillId="0" borderId="0" xfId="1" applyNumberFormat="1" applyFont="1" applyFill="1" applyBorder="1" applyAlignment="1">
      <alignment vertical="center" wrapText="1"/>
    </xf>
    <xf numFmtId="0" fontId="2" fillId="0" borderId="0" xfId="0" applyFont="1" applyAlignment="1">
      <alignment horizontal="left" vertical="center" indent="2"/>
    </xf>
    <xf numFmtId="0" fontId="2" fillId="0" borderId="0" xfId="0" applyFont="1" applyAlignment="1">
      <alignment horizontal="left" vertical="center" indent="3"/>
    </xf>
    <xf numFmtId="43" fontId="0" fillId="0" borderId="0" xfId="0" applyNumberFormat="1" applyAlignment="1">
      <alignment wrapText="1"/>
    </xf>
    <xf numFmtId="1" fontId="0" fillId="0" borderId="0" xfId="0" applyNumberFormat="1"/>
    <xf numFmtId="43" fontId="0" fillId="17" borderId="1" xfId="0" applyNumberFormat="1" applyFill="1" applyBorder="1"/>
    <xf numFmtId="44" fontId="0" fillId="15" borderId="1" xfId="3" applyFont="1" applyFill="1" applyBorder="1"/>
    <xf numFmtId="44" fontId="0" fillId="16" borderId="1" xfId="3" applyFont="1" applyFill="1" applyBorder="1"/>
    <xf numFmtId="0" fontId="0" fillId="18" borderId="1" xfId="0" applyFill="1" applyBorder="1" applyAlignment="1">
      <alignment horizontal="center"/>
    </xf>
    <xf numFmtId="0" fontId="0" fillId="18" borderId="1" xfId="0" applyFill="1" applyBorder="1"/>
    <xf numFmtId="43" fontId="0" fillId="16" borderId="1" xfId="0" applyNumberFormat="1" applyFill="1" applyBorder="1" applyAlignment="1">
      <alignment horizontal="center"/>
    </xf>
    <xf numFmtId="165" fontId="9" fillId="2" borderId="1" xfId="1" applyNumberFormat="1" applyFont="1" applyFill="1" applyBorder="1"/>
    <xf numFmtId="43" fontId="12" fillId="0" borderId="0" xfId="0" applyNumberFormat="1" applyFont="1" applyAlignment="1">
      <alignment horizontal="left" vertical="center" readingOrder="1"/>
    </xf>
    <xf numFmtId="43" fontId="3" fillId="10" borderId="19" xfId="1" applyFont="1" applyFill="1" applyBorder="1" applyAlignment="1">
      <alignment vertical="center" wrapText="1"/>
    </xf>
    <xf numFmtId="43" fontId="2" fillId="9" borderId="19" xfId="1" applyFont="1" applyFill="1" applyBorder="1" applyAlignment="1">
      <alignment vertical="center" wrapText="1"/>
    </xf>
    <xf numFmtId="43" fontId="2" fillId="7" borderId="36" xfId="1" applyFont="1" applyFill="1" applyBorder="1"/>
    <xf numFmtId="43" fontId="2" fillId="9" borderId="4" xfId="1" applyFont="1" applyFill="1" applyBorder="1"/>
    <xf numFmtId="43" fontId="3" fillId="10" borderId="0" xfId="1" applyFont="1" applyFill="1" applyBorder="1" applyAlignment="1">
      <alignment vertical="center" wrapText="1"/>
    </xf>
    <xf numFmtId="43" fontId="2" fillId="0" borderId="0" xfId="1" applyFont="1" applyBorder="1" applyAlignment="1">
      <alignment vertical="center" wrapText="1"/>
    </xf>
    <xf numFmtId="43" fontId="2" fillId="9" borderId="0" xfId="1" applyFont="1" applyFill="1" applyBorder="1" applyAlignment="1">
      <alignment vertical="center" wrapText="1"/>
    </xf>
    <xf numFmtId="43" fontId="2" fillId="7" borderId="6" xfId="1" applyFont="1" applyFill="1" applyBorder="1"/>
    <xf numFmtId="43" fontId="2" fillId="9" borderId="33" xfId="1" applyFont="1" applyFill="1" applyBorder="1"/>
    <xf numFmtId="165" fontId="0" fillId="0" borderId="0" xfId="0" applyNumberFormat="1"/>
    <xf numFmtId="43" fontId="0" fillId="0" borderId="0" xfId="1" applyFont="1" applyFill="1" applyBorder="1"/>
    <xf numFmtId="1" fontId="0" fillId="18" borderId="1" xfId="0" applyNumberFormat="1" applyFill="1" applyBorder="1"/>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2" fillId="3" borderId="7"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164" fontId="2" fillId="5" borderId="1" xfId="1" applyNumberFormat="1" applyFont="1" applyFill="1" applyBorder="1" applyAlignment="1">
      <alignment vertical="top" wrapText="1"/>
    </xf>
    <xf numFmtId="0" fontId="2" fillId="7" borderId="1" xfId="0" applyFont="1" applyFill="1" applyBorder="1" applyAlignment="1">
      <alignment vertical="top" wrapText="1"/>
    </xf>
    <xf numFmtId="0" fontId="2" fillId="6" borderId="1" xfId="0" applyFont="1" applyFill="1" applyBorder="1" applyAlignment="1">
      <alignment vertical="top" wrapText="1"/>
    </xf>
    <xf numFmtId="0" fontId="0" fillId="14" borderId="1" xfId="0" applyFill="1" applyBorder="1" applyAlignment="1">
      <alignment vertical="top" wrapText="1"/>
    </xf>
    <xf numFmtId="0" fontId="0" fillId="14" borderId="16" xfId="0" applyFill="1" applyBorder="1" applyAlignment="1">
      <alignment vertical="top" wrapText="1"/>
    </xf>
    <xf numFmtId="0" fontId="0" fillId="15" borderId="1" xfId="0" applyFill="1" applyBorder="1" applyAlignment="1">
      <alignment vertical="top" wrapText="1"/>
    </xf>
    <xf numFmtId="14" fontId="0" fillId="2" borderId="1" xfId="1" applyNumberFormat="1" applyFont="1" applyFill="1" applyBorder="1"/>
    <xf numFmtId="14" fontId="0" fillId="2" borderId="1" xfId="1" applyNumberFormat="1" applyFont="1" applyFill="1" applyBorder="1" applyAlignment="1">
      <alignment vertical="top"/>
    </xf>
    <xf numFmtId="0" fontId="0" fillId="18" borderId="1" xfId="0" applyFill="1" applyBorder="1" applyAlignment="1">
      <alignment vertical="top" wrapText="1"/>
    </xf>
    <xf numFmtId="43" fontId="0" fillId="18" borderId="1" xfId="0" applyNumberFormat="1" applyFill="1" applyBorder="1" applyAlignment="1">
      <alignment vertical="top" wrapText="1"/>
    </xf>
    <xf numFmtId="43" fontId="0" fillId="15" borderId="1" xfId="0" applyNumberFormat="1" applyFill="1" applyBorder="1" applyAlignment="1">
      <alignment vertical="top" wrapText="1"/>
    </xf>
    <xf numFmtId="43" fontId="0" fillId="16" borderId="1" xfId="0" applyNumberFormat="1" applyFill="1" applyBorder="1" applyAlignment="1">
      <alignment vertical="top" wrapText="1"/>
    </xf>
    <xf numFmtId="43" fontId="0" fillId="17" borderId="1" xfId="0" applyNumberFormat="1" applyFill="1" applyBorder="1" applyAlignment="1">
      <alignment vertical="top" wrapText="1"/>
    </xf>
    <xf numFmtId="0" fontId="0" fillId="0" borderId="0" xfId="0" applyAlignment="1">
      <alignment vertical="top"/>
    </xf>
    <xf numFmtId="165" fontId="0" fillId="0" borderId="0" xfId="1" applyNumberFormat="1" applyFont="1"/>
    <xf numFmtId="0" fontId="2" fillId="4" borderId="7" xfId="0" applyFont="1" applyFill="1" applyBorder="1" applyAlignment="1">
      <alignment vertical="top" wrapText="1"/>
    </xf>
    <xf numFmtId="170" fontId="0" fillId="0" borderId="0" xfId="0" applyNumberFormat="1"/>
    <xf numFmtId="0" fontId="0" fillId="0" borderId="0" xfId="0" applyAlignment="1">
      <alignment vertical="top" wrapText="1"/>
    </xf>
    <xf numFmtId="0" fontId="0" fillId="2" borderId="1" xfId="0" applyFill="1" applyBorder="1" applyAlignment="1">
      <alignment vertical="top" wrapText="1"/>
    </xf>
    <xf numFmtId="0" fontId="2" fillId="0" borderId="0" xfId="0" applyFont="1" applyAlignment="1">
      <alignment vertical="top" wrapText="1"/>
    </xf>
    <xf numFmtId="0" fontId="2" fillId="18" borderId="1" xfId="0" applyFont="1" applyFill="1" applyBorder="1" applyAlignment="1">
      <alignment horizontal="center" vertical="top"/>
    </xf>
    <xf numFmtId="165" fontId="2" fillId="3" borderId="2" xfId="1" applyNumberFormat="1" applyFont="1" applyFill="1" applyBorder="1" applyAlignment="1">
      <alignment vertical="top" wrapText="1"/>
    </xf>
    <xf numFmtId="43" fontId="2" fillId="3" borderId="2" xfId="1" applyFont="1" applyFill="1" applyBorder="1" applyAlignment="1">
      <alignment vertical="top" wrapText="1"/>
    </xf>
    <xf numFmtId="43" fontId="2" fillId="4" borderId="2" xfId="1" applyFont="1" applyFill="1" applyBorder="1" applyAlignment="1">
      <alignment vertical="top" wrapText="1"/>
    </xf>
    <xf numFmtId="43" fontId="2" fillId="5" borderId="2" xfId="1" applyFont="1" applyFill="1" applyBorder="1" applyAlignment="1">
      <alignment vertical="top" wrapText="1"/>
    </xf>
    <xf numFmtId="43" fontId="2" fillId="7" borderId="2" xfId="1" applyFont="1" applyFill="1" applyBorder="1" applyAlignment="1">
      <alignment vertical="top" wrapText="1"/>
    </xf>
    <xf numFmtId="9" fontId="2" fillId="7" borderId="2" xfId="2" applyFont="1" applyFill="1" applyBorder="1" applyAlignment="1">
      <alignment vertical="top" wrapText="1"/>
    </xf>
    <xf numFmtId="43" fontId="2" fillId="6" borderId="2" xfId="1" applyFont="1" applyFill="1" applyBorder="1" applyAlignment="1">
      <alignment vertical="top" wrapText="1"/>
    </xf>
    <xf numFmtId="43" fontId="2" fillId="14" borderId="0" xfId="1" applyFont="1" applyFill="1" applyAlignment="1">
      <alignment vertical="top"/>
    </xf>
    <xf numFmtId="43" fontId="2" fillId="15" borderId="1" xfId="1" applyFont="1" applyFill="1" applyBorder="1" applyAlignment="1">
      <alignment vertical="top"/>
    </xf>
    <xf numFmtId="165" fontId="2" fillId="18" borderId="1" xfId="1" applyNumberFormat="1" applyFont="1" applyFill="1" applyBorder="1" applyAlignment="1">
      <alignment vertical="top"/>
    </xf>
    <xf numFmtId="0" fontId="2" fillId="7" borderId="5" xfId="0" applyFont="1" applyFill="1" applyBorder="1" applyAlignment="1">
      <alignment horizontal="center" vertical="top"/>
    </xf>
    <xf numFmtId="165" fontId="2" fillId="2" borderId="2" xfId="0" applyNumberFormat="1" applyFont="1" applyFill="1" applyBorder="1" applyAlignment="1">
      <alignment vertical="top" wrapText="1"/>
    </xf>
    <xf numFmtId="43" fontId="0" fillId="0" borderId="19" xfId="1" applyFont="1" applyFill="1" applyBorder="1"/>
    <xf numFmtId="14" fontId="0" fillId="0" borderId="0" xfId="1" applyNumberFormat="1" applyFont="1"/>
    <xf numFmtId="0" fontId="2" fillId="8" borderId="0" xfId="0" applyFont="1" applyFill="1"/>
    <xf numFmtId="0" fontId="2" fillId="6" borderId="3" xfId="0" applyFont="1" applyFill="1" applyBorder="1" applyAlignment="1">
      <alignment horizontal="center" vertical="top"/>
    </xf>
    <xf numFmtId="0" fontId="0" fillId="14" borderId="1" xfId="0" applyFill="1" applyBorder="1" applyAlignment="1">
      <alignment horizontal="center" vertical="top"/>
    </xf>
    <xf numFmtId="0" fontId="0" fillId="14" borderId="16" xfId="0" applyFill="1" applyBorder="1" applyAlignment="1">
      <alignment horizontal="center" vertical="top"/>
    </xf>
    <xf numFmtId="0" fontId="0" fillId="15" borderId="1" xfId="0" applyFill="1" applyBorder="1" applyAlignment="1">
      <alignment horizontal="center" vertical="top"/>
    </xf>
    <xf numFmtId="0" fontId="2" fillId="2" borderId="3" xfId="0" applyFont="1" applyFill="1" applyBorder="1" applyAlignment="1">
      <alignment horizontal="center" vertical="top"/>
    </xf>
    <xf numFmtId="0" fontId="2" fillId="3" borderId="3" xfId="0" applyFont="1" applyFill="1" applyBorder="1" applyAlignment="1">
      <alignment horizontal="center" vertical="top"/>
    </xf>
    <xf numFmtId="0" fontId="2" fillId="4" borderId="3" xfId="0" applyFont="1" applyFill="1" applyBorder="1" applyAlignment="1">
      <alignment horizontal="center" vertical="top"/>
    </xf>
    <xf numFmtId="0" fontId="2" fillId="5" borderId="3" xfId="0" applyFont="1" applyFill="1" applyBorder="1" applyAlignment="1">
      <alignment horizontal="center" vertical="top"/>
    </xf>
    <xf numFmtId="0" fontId="2" fillId="7" borderId="4" xfId="0" applyFont="1" applyFill="1" applyBorder="1" applyAlignment="1">
      <alignment horizontal="center" vertical="top"/>
    </xf>
    <xf numFmtId="0" fontId="2" fillId="7" borderId="5" xfId="0" applyFont="1" applyFill="1" applyBorder="1" applyAlignment="1">
      <alignment horizontal="center" vertical="top"/>
    </xf>
    <xf numFmtId="0" fontId="8" fillId="13" borderId="1" xfId="0" applyFont="1" applyFill="1" applyBorder="1" applyAlignment="1">
      <alignment horizontal="center"/>
    </xf>
    <xf numFmtId="43" fontId="0" fillId="15" borderId="1" xfId="0" applyNumberFormat="1" applyFill="1" applyBorder="1" applyAlignment="1">
      <alignment horizontal="center"/>
    </xf>
    <xf numFmtId="43" fontId="0" fillId="17" borderId="1" xfId="0" applyNumberFormat="1" applyFill="1" applyBorder="1" applyAlignment="1">
      <alignment horizontal="center"/>
    </xf>
    <xf numFmtId="0" fontId="0" fillId="18" borderId="1" xfId="0" applyFill="1" applyBorder="1" applyAlignment="1">
      <alignment horizontal="center"/>
    </xf>
    <xf numFmtId="0" fontId="2" fillId="7" borderId="4" xfId="0" applyFont="1" applyFill="1" applyBorder="1" applyAlignment="1">
      <alignment horizontal="center"/>
    </xf>
    <xf numFmtId="0" fontId="2" fillId="7" borderId="33" xfId="0" applyFont="1" applyFill="1" applyBorder="1" applyAlignment="1">
      <alignment horizontal="center"/>
    </xf>
    <xf numFmtId="0" fontId="2" fillId="7" borderId="5" xfId="0" applyFont="1" applyFill="1" applyBorder="1" applyAlignment="1">
      <alignment horizontal="center"/>
    </xf>
    <xf numFmtId="0" fontId="2" fillId="0" borderId="22" xfId="0" applyFont="1" applyBorder="1" applyAlignment="1">
      <alignment horizontal="center"/>
    </xf>
    <xf numFmtId="0" fontId="2" fillId="0" borderId="23" xfId="0" applyFont="1" applyBorder="1" applyAlignment="1">
      <alignment horizontal="center"/>
    </xf>
    <xf numFmtId="0" fontId="2" fillId="0" borderId="1" xfId="0" applyFont="1" applyBorder="1" applyAlignment="1">
      <alignment horizontal="center" wrapText="1"/>
    </xf>
    <xf numFmtId="0" fontId="2" fillId="0" borderId="16" xfId="0" applyFont="1" applyBorder="1" applyAlignment="1">
      <alignment horizontal="center" wrapText="1"/>
    </xf>
    <xf numFmtId="0" fontId="2" fillId="0" borderId="22" xfId="0" applyFont="1" applyBorder="1" applyAlignment="1">
      <alignment horizontal="center" wrapText="1"/>
    </xf>
    <xf numFmtId="0" fontId="2" fillId="0" borderId="23" xfId="0" applyFont="1" applyBorder="1" applyAlignment="1">
      <alignment horizontal="center" wrapText="1"/>
    </xf>
    <xf numFmtId="0" fontId="0" fillId="0" borderId="0" xfId="0" applyNumberFormat="1"/>
  </cellXfs>
  <cellStyles count="4">
    <cellStyle name="Comma" xfId="1" builtinId="3"/>
    <cellStyle name="Currency" xfId="3" builtinId="4"/>
    <cellStyle name="Normal" xfId="0" builtinId="0"/>
    <cellStyle name="Percent" xfId="2" builtinId="5"/>
  </cellStyles>
  <dxfs count="10">
    <dxf>
      <alignment wrapText="1"/>
    </dxf>
    <dxf>
      <alignment wrapText="1"/>
    </dxf>
    <dxf>
      <numFmt numFmtId="2" formatCode="0.00"/>
    </dxf>
    <dxf>
      <numFmt numFmtId="2" formatCode="0.00"/>
    </dxf>
    <dxf>
      <font>
        <color rgb="FF006100"/>
      </font>
      <fill>
        <patternFill>
          <bgColor rgb="FFC6EFCE"/>
        </patternFill>
      </fill>
    </dxf>
    <dxf>
      <font>
        <color rgb="FF9C0006"/>
      </font>
      <fill>
        <patternFill>
          <bgColor rgb="FFFFC7CE"/>
        </patternFill>
      </fill>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r>
              <a:rPr lang="en-US"/>
              <a:t>Cost in KWh and $ compared to cost avoidance in Gas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Cost</c:v>
          </c:tx>
          <c:spPr>
            <a:gradFill>
              <a:gsLst>
                <a:gs pos="100000">
                  <a:schemeClr val="accent1">
                    <a:alpha val="0"/>
                  </a:schemeClr>
                </a:gs>
                <a:gs pos="50000">
                  <a:schemeClr val="accent1"/>
                </a:gs>
              </a:gsLst>
              <a:lin ang="5400000" scaled="0"/>
            </a:gradFill>
            <a:ln>
              <a:noFill/>
            </a:ln>
            <a:effectLst/>
            <a:sp3d/>
          </c:spPr>
          <c:invertIfNegative val="0"/>
          <c:dLbls>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15:showLeaderLines val="1"/>
                <c15:leaderLines>
                  <c:spPr>
                    <a:ln w="9525">
                      <a:solidFill>
                        <a:schemeClr val="tx1">
                          <a:lumMod val="35000"/>
                          <a:lumOff val="65000"/>
                        </a:schemeClr>
                      </a:solidFill>
                    </a:ln>
                    <a:effectLst/>
                  </c:spPr>
                </c15:leaderLines>
              </c:ext>
            </c:extLst>
          </c:dLbls>
          <c:cat>
            <c:strRef>
              <c:f>'Cost Saving Chart'!$C$2:$F$2</c:f>
              <c:strCache>
                <c:ptCount val="4"/>
                <c:pt idx="0">
                  <c:v>Super Charger KWh</c:v>
                </c:pt>
                <c:pt idx="1">
                  <c:v>Home KWh</c:v>
                </c:pt>
                <c:pt idx="2">
                  <c:v>Total KWh</c:v>
                </c:pt>
                <c:pt idx="3">
                  <c:v> Est Gas Cost </c:v>
                </c:pt>
              </c:strCache>
            </c:strRef>
          </c:cat>
          <c:val>
            <c:numRef>
              <c:f>'Cost Saving Chart'!$G$3:$J$3</c:f>
              <c:numCache>
                <c:formatCode>_("$"* #,##0.00_);_("$"* \(#,##0.00\);_("$"* "-"??_);_(@_)</c:formatCode>
                <c:ptCount val="4"/>
                <c:pt idx="0">
                  <c:v>48.180000000000007</c:v>
                </c:pt>
                <c:pt idx="1">
                  <c:v>51.794572055596198</c:v>
                </c:pt>
                <c:pt idx="2">
                  <c:v>99.974572055596212</c:v>
                </c:pt>
                <c:pt idx="3">
                  <c:v>195.1592</c:v>
                </c:pt>
              </c:numCache>
            </c:numRef>
          </c:val>
          <c:extLst>
            <c:ext xmlns:c16="http://schemas.microsoft.com/office/drawing/2014/chart" uri="{C3380CC4-5D6E-409C-BE32-E72D297353CC}">
              <c16:uniqueId val="{00000000-D189-4AAF-8630-0EBBA5ED3E7E}"/>
            </c:ext>
          </c:extLst>
        </c:ser>
        <c:ser>
          <c:idx val="1"/>
          <c:order val="1"/>
          <c:tx>
            <c:v>KWh/Gas</c:v>
          </c:tx>
          <c:spPr>
            <a:gradFill>
              <a:gsLst>
                <a:gs pos="100000">
                  <a:schemeClr val="accent2">
                    <a:alpha val="0"/>
                  </a:schemeClr>
                </a:gs>
                <a:gs pos="50000">
                  <a:schemeClr val="accent2"/>
                </a:gs>
              </a:gsLst>
              <a:lin ang="5400000" scaled="0"/>
            </a:gradFill>
            <a:ln>
              <a:noFill/>
            </a:ln>
            <a:effectLst/>
            <a:sp3d/>
          </c:spPr>
          <c:invertIfNegative val="0"/>
          <c:dLbls>
            <c:dLbl>
              <c:idx val="3"/>
              <c:layout>
                <c:manualLayout>
                  <c:x val="8.6072467064978828E-2"/>
                  <c:y val="-8.8345914059444516E-2"/>
                </c:manualLayout>
              </c:layout>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13168"/>
                        <a:gd name="adj2" fmla="val 7297"/>
                        <a:gd name="adj3" fmla="val 271133"/>
                        <a:gd name="adj4" fmla="val -342316"/>
                      </a:avLst>
                    </a:prstGeom>
                    <a:noFill/>
                    <a:ln>
                      <a:noFill/>
                    </a:ln>
                  </c15:spPr>
                </c:ext>
                <c:ext xmlns:c16="http://schemas.microsoft.com/office/drawing/2014/chart" uri="{C3380CC4-5D6E-409C-BE32-E72D297353CC}">
                  <c16:uniqueId val="{00000003-D189-4AAF-8630-0EBBA5ED3E7E}"/>
                </c:ext>
              </c:extLst>
            </c:dLbl>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15:showLeaderLines val="0"/>
              </c:ext>
            </c:extLst>
          </c:dLbls>
          <c:cat>
            <c:strRef>
              <c:f>'Cost Saving Chart'!$C$2:$F$2</c:f>
              <c:strCache>
                <c:ptCount val="4"/>
                <c:pt idx="0">
                  <c:v>Super Charger KWh</c:v>
                </c:pt>
                <c:pt idx="1">
                  <c:v>Home KWh</c:v>
                </c:pt>
                <c:pt idx="2">
                  <c:v>Total KWh</c:v>
                </c:pt>
                <c:pt idx="3">
                  <c:v> Est Gas Cost </c:v>
                </c:pt>
              </c:strCache>
            </c:strRef>
          </c:cat>
          <c:val>
            <c:numRef>
              <c:f>'Cost Saving Chart'!$C$3:$F$3</c:f>
              <c:numCache>
                <c:formatCode>General</c:formatCode>
                <c:ptCount val="4"/>
                <c:pt idx="0">
                  <c:v>143</c:v>
                </c:pt>
                <c:pt idx="1">
                  <c:v>378</c:v>
                </c:pt>
                <c:pt idx="2">
                  <c:v>521</c:v>
                </c:pt>
                <c:pt idx="3" formatCode="0">
                  <c:v>70.999999999999986</c:v>
                </c:pt>
              </c:numCache>
            </c:numRef>
          </c:val>
          <c:extLst>
            <c:ext xmlns:c16="http://schemas.microsoft.com/office/drawing/2014/chart" uri="{C3380CC4-5D6E-409C-BE32-E72D297353CC}">
              <c16:uniqueId val="{00000002-D189-4AAF-8630-0EBBA5ED3E7E}"/>
            </c:ext>
          </c:extLst>
        </c:ser>
        <c:dLbls>
          <c:showLegendKey val="0"/>
          <c:showVal val="0"/>
          <c:showCatName val="0"/>
          <c:showSerName val="0"/>
          <c:showPercent val="0"/>
          <c:showBubbleSize val="0"/>
        </c:dLbls>
        <c:gapWidth val="150"/>
        <c:gapDepth val="0"/>
        <c:shape val="box"/>
        <c:axId val="826668816"/>
        <c:axId val="826666896"/>
        <c:axId val="669748928"/>
      </c:bar3DChart>
      <c:catAx>
        <c:axId val="826668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26666896"/>
        <c:crosses val="autoZero"/>
        <c:auto val="1"/>
        <c:lblAlgn val="ctr"/>
        <c:lblOffset val="100"/>
        <c:noMultiLvlLbl val="0"/>
      </c:catAx>
      <c:valAx>
        <c:axId val="826666896"/>
        <c:scaling>
          <c:orientation val="minMax"/>
        </c:scaling>
        <c:delete val="0"/>
        <c:axPos val="l"/>
        <c:majorGridlines>
          <c:spPr>
            <a:ln w="9525" cap="flat" cmpd="sng" algn="ctr">
              <a:solidFill>
                <a:schemeClr val="tx1">
                  <a:lumMod val="5000"/>
                  <a:lumOff val="9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26668816"/>
        <c:crosses val="autoZero"/>
        <c:crossBetween val="between"/>
      </c:valAx>
      <c:serAx>
        <c:axId val="669748928"/>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2666689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tx1"/>
                </a:solidFill>
                <a:latin typeface="+mj-lt"/>
                <a:ea typeface="+mj-ea"/>
                <a:cs typeface="+mj-cs"/>
              </a:defRPr>
            </a:pPr>
            <a:r>
              <a:rPr lang="en-US">
                <a:solidFill>
                  <a:schemeClr val="tx1"/>
                </a:solidFill>
              </a:rPr>
              <a:t>Comparing all miles driven Home/Super Charge or Gas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tx1"/>
              </a:solidFill>
              <a:latin typeface="+mj-lt"/>
              <a:ea typeface="+mj-ea"/>
              <a:cs typeface="+mj-cs"/>
            </a:defRPr>
          </a:pPr>
          <a:endParaRPr lang="en-US"/>
        </a:p>
      </c:txPr>
    </c:title>
    <c:autoTitleDeleted val="0"/>
    <c:plotArea>
      <c:layout/>
      <c:pie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2-C8D0-4296-89E3-B69EF6064DFE}"/>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1-C8D0-4296-89E3-B69EF6064DFE}"/>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3-C8D0-4296-89E3-B69EF6064DFE}"/>
              </c:ext>
            </c:extLst>
          </c:dPt>
          <c:dLbls>
            <c:dLbl>
              <c:idx val="0"/>
              <c:layout>
                <c:manualLayout>
                  <c:x val="4.5840671958237725E-2"/>
                  <c:y val="-6.222846357151879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D0-4296-89E3-B69EF6064DFE}"/>
                </c:ext>
              </c:extLst>
            </c:dLbl>
            <c:dLbl>
              <c:idx val="1"/>
              <c:layout>
                <c:manualLayout>
                  <c:x val="-4.0643090458557671E-2"/>
                  <c:y val="-5.3748424105642713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61923"/>
                        <a:gd name="adj2" fmla="val 107903"/>
                        <a:gd name="adj3" fmla="val 102930"/>
                        <a:gd name="adj4" fmla="val 187272"/>
                      </a:avLst>
                    </a:prstGeom>
                    <a:noFill/>
                    <a:ln>
                      <a:noFill/>
                    </a:ln>
                  </c15:spPr>
                </c:ext>
                <c:ext xmlns:c16="http://schemas.microsoft.com/office/drawing/2014/chart" uri="{C3380CC4-5D6E-409C-BE32-E72D297353CC}">
                  <c16:uniqueId val="{00000001-C8D0-4296-89E3-B69EF6064DFE}"/>
                </c:ext>
              </c:extLst>
            </c:dLbl>
            <c:dLbl>
              <c:idx val="2"/>
              <c:layout>
                <c:manualLayout>
                  <c:x val="-8.6570484146005072E-2"/>
                  <c:y val="8.4716088779155513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81849"/>
                        <a:gd name="adj2" fmla="val 100556"/>
                        <a:gd name="adj3" fmla="val 113252"/>
                        <a:gd name="adj4" fmla="val 149538"/>
                      </a:avLst>
                    </a:prstGeom>
                    <a:noFill/>
                    <a:ln>
                      <a:noFill/>
                    </a:ln>
                  </c15:spPr>
                </c:ext>
                <c:ext xmlns:c16="http://schemas.microsoft.com/office/drawing/2014/chart" uri="{C3380CC4-5D6E-409C-BE32-E72D297353CC}">
                  <c16:uniqueId val="{00000003-C8D0-4296-89E3-B69EF6064DFE}"/>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ext>
            </c:extLst>
          </c:dLbls>
          <c:cat>
            <c:strRef>
              <c:f>'Cost Saving Chart'!$K$2:$M$2</c:f>
              <c:strCache>
                <c:ptCount val="3"/>
                <c:pt idx="0">
                  <c:v> all Super Chg Cost </c:v>
                </c:pt>
                <c:pt idx="1">
                  <c:v> all Gas Cost </c:v>
                </c:pt>
                <c:pt idx="2">
                  <c:v> All Home Chg cost </c:v>
                </c:pt>
              </c:strCache>
            </c:strRef>
          </c:cat>
          <c:val>
            <c:numRef>
              <c:f>'Cost Saving Chart'!$K$3:$M$3</c:f>
              <c:numCache>
                <c:formatCode>_(* #,##0.00_);_(* \(#,##0.00\);_(* "-"??_);_(@_)</c:formatCode>
                <c:ptCount val="3"/>
                <c:pt idx="0">
                  <c:v>196.62999999999997</c:v>
                </c:pt>
                <c:pt idx="1">
                  <c:v>195.1592</c:v>
                </c:pt>
                <c:pt idx="2">
                  <c:v>71.392571751101926</c:v>
                </c:pt>
              </c:numCache>
            </c:numRef>
          </c:val>
          <c:extLst>
            <c:ext xmlns:c16="http://schemas.microsoft.com/office/drawing/2014/chart" uri="{C3380CC4-5D6E-409C-BE32-E72D297353CC}">
              <c16:uniqueId val="{00000000-C8D0-4296-89E3-B69EF6064DF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Gasoline vs Natural Gas Emissions (Lbs)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5781142361908431E-2"/>
          <c:y val="0.22345026499283779"/>
          <c:w val="0.95950979504915312"/>
          <c:h val="0.40758651208328189"/>
        </c:manualLayout>
      </c:layout>
      <c:bar3DChart>
        <c:barDir val="col"/>
        <c:grouping val="standard"/>
        <c:varyColors val="0"/>
        <c:ser>
          <c:idx val="0"/>
          <c:order val="0"/>
          <c:tx>
            <c:v>Gasoline</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dLbl>
              <c:idx val="0"/>
              <c:layout>
                <c:manualLayout>
                  <c:x val="4.589509213511999E-2"/>
                  <c:y val="-1.7138071556844867E-3"/>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98415"/>
                        <a:gd name="adj2" fmla="val 63733"/>
                        <a:gd name="adj3" fmla="val 144153"/>
                        <a:gd name="adj4" fmla="val -98256"/>
                      </a:avLst>
                    </a:prstGeom>
                    <a:noFill/>
                    <a:ln>
                      <a:noFill/>
                    </a:ln>
                  </c15:spPr>
                </c:ext>
                <c:ext xmlns:c16="http://schemas.microsoft.com/office/drawing/2014/chart" uri="{C3380CC4-5D6E-409C-BE32-E72D297353CC}">
                  <c16:uniqueId val="{00000007-C4FA-430E-9EA5-5DB7251474B1}"/>
                </c:ext>
              </c:extLst>
            </c:dLbl>
            <c:dLbl>
              <c:idx val="1"/>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19659"/>
                        <a:gd name="adj2" fmla="val 63733"/>
                        <a:gd name="adj3" fmla="val 233090"/>
                        <a:gd name="adj4" fmla="val 48702"/>
                      </a:avLst>
                    </a:prstGeom>
                    <a:noFill/>
                    <a:ln>
                      <a:noFill/>
                    </a:ln>
                  </c15:spPr>
                </c:ext>
                <c:ext xmlns:c16="http://schemas.microsoft.com/office/drawing/2014/chart" uri="{C3380CC4-5D6E-409C-BE32-E72D297353CC}">
                  <c16:uniqueId val="{0000000A-C4FA-430E-9EA5-5DB7251474B1}"/>
                </c:ext>
              </c:extLst>
            </c:dLbl>
            <c:dLbl>
              <c:idx val="2"/>
              <c:layout>
                <c:manualLayout>
                  <c:x val="-1.6120366531721542E-2"/>
                  <c:y val="-5.2439580483356132E-2"/>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19659"/>
                        <a:gd name="adj2" fmla="val 48066"/>
                        <a:gd name="adj3" fmla="val 369748"/>
                        <a:gd name="adj4" fmla="val 92935"/>
                      </a:avLst>
                    </a:prstGeom>
                    <a:noFill/>
                    <a:ln>
                      <a:noFill/>
                    </a:ln>
                  </c15:spPr>
                </c:ext>
                <c:ext xmlns:c16="http://schemas.microsoft.com/office/drawing/2014/chart" uri="{C3380CC4-5D6E-409C-BE32-E72D297353CC}">
                  <c16:uniqueId val="{00000008-C4FA-430E-9EA5-5DB7251474B1}"/>
                </c:ext>
              </c:extLst>
            </c:dLbl>
            <c:dLbl>
              <c:idx val="3"/>
              <c:layout>
                <c:manualLayout>
                  <c:x val="0"/>
                  <c:y val="-6.383948928408581E-2"/>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14348"/>
                        <a:gd name="adj2" fmla="val 54333"/>
                        <a:gd name="adj3" fmla="val 297860"/>
                        <a:gd name="adj4" fmla="val 50097"/>
                      </a:avLst>
                    </a:prstGeom>
                    <a:noFill/>
                    <a:ln>
                      <a:noFill/>
                    </a:ln>
                  </c15:spPr>
                </c:ext>
                <c:ext xmlns:c16="http://schemas.microsoft.com/office/drawing/2014/chart" uri="{C3380CC4-5D6E-409C-BE32-E72D297353CC}">
                  <c16:uniqueId val="{00000009-C4FA-430E-9EA5-5DB7251474B1}"/>
                </c:ext>
              </c:extLst>
            </c:dLbl>
            <c:dLbl>
              <c:idx val="4"/>
              <c:layout>
                <c:manualLayout>
                  <c:x val="-3.6061461273126372E-2"/>
                  <c:y val="-3.2894736842105317E-2"/>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98415"/>
                        <a:gd name="adj2" fmla="val 69999"/>
                        <a:gd name="adj3" fmla="val 267084"/>
                        <a:gd name="adj4" fmla="val 120899"/>
                      </a:avLst>
                    </a:prstGeom>
                    <a:noFill/>
                    <a:ln>
                      <a:noFill/>
                    </a:ln>
                  </c15:spPr>
                </c:ext>
                <c:ext xmlns:c16="http://schemas.microsoft.com/office/drawing/2014/chart" uri="{C3380CC4-5D6E-409C-BE32-E72D297353CC}">
                  <c16:uniqueId val="{0000000B-C4FA-430E-9EA5-5DB7251474B1}"/>
                </c:ext>
              </c:extLst>
            </c:dLbl>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15:showLeaderLines val="0"/>
              </c:ext>
            </c:extLst>
          </c:dLbls>
          <c:cat>
            <c:strRef>
              <c:f>'Emissions Chart'!$N$1:$R$1</c:f>
              <c:strCache>
                <c:ptCount val="5"/>
                <c:pt idx="0">
                  <c:v> Carbon monoxide (CO) </c:v>
                </c:pt>
                <c:pt idx="1">
                  <c:v> Nitrogen oxides (NOₓ) </c:v>
                </c:pt>
                <c:pt idx="2">
                  <c:v> Unburned hydrocarbons (VOCs) </c:v>
                </c:pt>
                <c:pt idx="3">
                  <c:v> Particulate matter (PM2.5) </c:v>
                </c:pt>
                <c:pt idx="4">
                  <c:v> Sulfur dioxide (SO₂) </c:v>
                </c:pt>
              </c:strCache>
            </c:strRef>
          </c:cat>
          <c:val>
            <c:numRef>
              <c:f>'Emissions Chart'!$E$2:$I$2</c:f>
              <c:numCache>
                <c:formatCode>_(* #,##0.00_);_(* \(#,##0.00\);_(* "-"??_);_(@_)</c:formatCode>
                <c:ptCount val="5"/>
                <c:pt idx="0">
                  <c:v>1.42</c:v>
                </c:pt>
                <c:pt idx="1">
                  <c:v>0.71</c:v>
                </c:pt>
                <c:pt idx="2">
                  <c:v>0.14200000000000004</c:v>
                </c:pt>
                <c:pt idx="3">
                  <c:v>7.1000000000000021E-2</c:v>
                </c:pt>
                <c:pt idx="4">
                  <c:v>0.28400000000000009</c:v>
                </c:pt>
              </c:numCache>
            </c:numRef>
          </c:val>
          <c:extLst>
            <c:ext xmlns:c16="http://schemas.microsoft.com/office/drawing/2014/chart" uri="{C3380CC4-5D6E-409C-BE32-E72D297353CC}">
              <c16:uniqueId val="{00000000-C4FA-430E-9EA5-5DB7251474B1}"/>
            </c:ext>
          </c:extLst>
        </c:ser>
        <c:ser>
          <c:idx val="1"/>
          <c:order val="1"/>
          <c:tx>
            <c:v>Natural Gas</c:v>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dLbl>
              <c:idx val="0"/>
              <c:layout>
                <c:manualLayout>
                  <c:x val="-5.3650281602852325E-2"/>
                  <c:y val="-1.7647465119491643E-2"/>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99236"/>
                        <a:gd name="adj2" fmla="val 64427"/>
                        <a:gd name="adj3" fmla="val 243775"/>
                        <a:gd name="adj4" fmla="val 152962"/>
                      </a:avLst>
                    </a:prstGeom>
                    <a:noFill/>
                    <a:ln>
                      <a:noFill/>
                    </a:ln>
                  </c15:spPr>
                </c:ext>
                <c:ext xmlns:c16="http://schemas.microsoft.com/office/drawing/2014/chart" uri="{C3380CC4-5D6E-409C-BE32-E72D297353CC}">
                  <c16:uniqueId val="{00000000-063B-4F9D-A6AF-373AA834E7D2}"/>
                </c:ext>
              </c:extLst>
            </c:dLbl>
            <c:dLbl>
              <c:idx val="1"/>
              <c:layout>
                <c:manualLayout>
                  <c:x val="-3.0018172704893546E-2"/>
                  <c:y val="-8.5273777455449652E-3"/>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93748"/>
                        <a:gd name="adj2" fmla="val 58139"/>
                        <a:gd name="adj3" fmla="val 258593"/>
                        <a:gd name="adj4" fmla="val 130059"/>
                      </a:avLst>
                    </a:prstGeom>
                    <a:noFill/>
                    <a:ln>
                      <a:noFill/>
                    </a:ln>
                  </c15:spPr>
                </c:ext>
                <c:ext xmlns:c16="http://schemas.microsoft.com/office/drawing/2014/chart" uri="{C3380CC4-5D6E-409C-BE32-E72D297353CC}">
                  <c16:uniqueId val="{00000001-063B-4F9D-A6AF-373AA834E7D2}"/>
                </c:ext>
              </c:extLst>
            </c:dLbl>
            <c:dLbl>
              <c:idx val="2"/>
              <c:layout>
                <c:manualLayout>
                  <c:x val="-3.876082399389634E-2"/>
                  <c:y val="-1.3522456485702496E-2"/>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09819"/>
                        <a:gd name="adj2" fmla="val 54974"/>
                        <a:gd name="adj3" fmla="val 169614"/>
                        <a:gd name="adj4" fmla="val 154116"/>
                      </a:avLst>
                    </a:prstGeom>
                    <a:noFill/>
                    <a:ln>
                      <a:noFill/>
                    </a:ln>
                  </c15:spPr>
                </c:ext>
                <c:ext xmlns:c16="http://schemas.microsoft.com/office/drawing/2014/chart" uri="{C3380CC4-5D6E-409C-BE32-E72D297353CC}">
                  <c16:uniqueId val="{00000002-063B-4F9D-A6AF-373AA834E7D2}"/>
                </c:ext>
              </c:extLst>
            </c:dLbl>
            <c:dLbl>
              <c:idx val="3"/>
              <c:layout>
                <c:manualLayout>
                  <c:x val="-4.4583373456492915E-2"/>
                  <c:y val="-7.1174799696091121E-3"/>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25889"/>
                        <a:gd name="adj2" fmla="val 35358"/>
                        <a:gd name="adj3" fmla="val 153618"/>
                        <a:gd name="adj4" fmla="val 325527"/>
                      </a:avLst>
                    </a:prstGeom>
                    <a:noFill/>
                    <a:ln>
                      <a:noFill/>
                    </a:ln>
                  </c15:spPr>
                </c:ext>
                <c:ext xmlns:c16="http://schemas.microsoft.com/office/drawing/2014/chart" uri="{C3380CC4-5D6E-409C-BE32-E72D297353CC}">
                  <c16:uniqueId val="{00000003-063B-4F9D-A6AF-373AA834E7D2}"/>
                </c:ext>
              </c:extLst>
            </c:dLbl>
            <c:dLbl>
              <c:idx val="4"/>
              <c:layout>
                <c:manualLayout>
                  <c:x val="-5.3764910383379994E-2"/>
                  <c:y val="-1.8108509462632962E-2"/>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20532"/>
                        <a:gd name="adj2" fmla="val 28076"/>
                        <a:gd name="adj3" fmla="val 182992"/>
                        <a:gd name="adj4" fmla="val 382339"/>
                      </a:avLst>
                    </a:prstGeom>
                    <a:noFill/>
                    <a:ln>
                      <a:noFill/>
                    </a:ln>
                  </c15:spPr>
                </c:ext>
                <c:ext xmlns:c16="http://schemas.microsoft.com/office/drawing/2014/chart" uri="{C3380CC4-5D6E-409C-BE32-E72D297353CC}">
                  <c16:uniqueId val="{00000004-063B-4F9D-A6AF-373AA834E7D2}"/>
                </c:ext>
              </c:extLst>
            </c:dLbl>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15:showLeaderLines val="0"/>
              </c:ext>
            </c:extLst>
          </c:dLbls>
          <c:val>
            <c:numRef>
              <c:f>'Emissions Chart'!$N$2:$R$2</c:f>
              <c:numCache>
                <c:formatCode>_(* #,##0.00_);_(* \(#,##0.00\);_(* "-"??_);_(@_)</c:formatCode>
                <c:ptCount val="5"/>
                <c:pt idx="0">
                  <c:v>0.14932276799999997</c:v>
                </c:pt>
                <c:pt idx="1">
                  <c:v>0.17776520000000004</c:v>
                </c:pt>
                <c:pt idx="2">
                  <c:v>8.8882599999999985E-3</c:v>
                </c:pt>
                <c:pt idx="3" formatCode="0">
                  <c:v>0</c:v>
                </c:pt>
                <c:pt idx="4" formatCode="0">
                  <c:v>0</c:v>
                </c:pt>
              </c:numCache>
            </c:numRef>
          </c:val>
          <c:extLst>
            <c:ext xmlns:c16="http://schemas.microsoft.com/office/drawing/2014/chart" uri="{C3380CC4-5D6E-409C-BE32-E72D297353CC}">
              <c16:uniqueId val="{0000000C-C4FA-430E-9EA5-5DB7251474B1}"/>
            </c:ext>
          </c:extLst>
        </c:ser>
        <c:dLbls>
          <c:showLegendKey val="0"/>
          <c:showVal val="0"/>
          <c:showCatName val="0"/>
          <c:showSerName val="0"/>
          <c:showPercent val="0"/>
          <c:showBubbleSize val="0"/>
        </c:dLbls>
        <c:gapWidth val="65"/>
        <c:shape val="box"/>
        <c:axId val="789349312"/>
        <c:axId val="789358912"/>
        <c:axId val="605692912"/>
      </c:bar3DChart>
      <c:catAx>
        <c:axId val="7893493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540000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9358912"/>
        <c:crosses val="autoZero"/>
        <c:auto val="1"/>
        <c:lblAlgn val="ctr"/>
        <c:lblOffset val="100"/>
        <c:noMultiLvlLbl val="0"/>
      </c:catAx>
      <c:valAx>
        <c:axId val="789358912"/>
        <c:scaling>
          <c:orientation val="minMax"/>
        </c:scaling>
        <c:delete val="0"/>
        <c:axPos val="l"/>
        <c:majorGridlines>
          <c:spPr>
            <a:ln w="9525" cap="flat" cmpd="sng" algn="ctr">
              <a:solidFill>
                <a:schemeClr val="dk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89349312"/>
        <c:crosses val="autoZero"/>
        <c:crossBetween val="between"/>
      </c:valAx>
      <c:serAx>
        <c:axId val="605692912"/>
        <c:scaling>
          <c:orientation val="maxMin"/>
        </c:scaling>
        <c:delete val="0"/>
        <c:axPos val="b"/>
        <c:majorTickMark val="none"/>
        <c:minorTickMark val="none"/>
        <c:tickLblPos val="high"/>
        <c:spPr>
          <a:noFill/>
          <a:ln>
            <a:noFill/>
          </a:ln>
          <a:effectLst/>
        </c:spPr>
        <c:txPr>
          <a:bodyPr rot="5400000" spcFirstLastPara="1" vertOverflow="ellipsis"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893589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H2O</a:t>
            </a:r>
            <a:r>
              <a:rPr lang="en-US" baseline="0"/>
              <a:t> </a:t>
            </a:r>
            <a:r>
              <a:rPr lang="en-US"/>
              <a:t>(lbs)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0.26663230780446479"/>
          <c:y val="0.19842841167163816"/>
          <c:w val="0.43541982852016875"/>
          <c:h val="0.51294218143991843"/>
        </c:manualLayout>
      </c:layout>
      <c:pie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2-DE52-493D-AB05-5968F5668501}"/>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1-DE52-493D-AB05-5968F5668501}"/>
              </c:ext>
            </c:extLst>
          </c:dPt>
          <c:dLbls>
            <c:dLbl>
              <c:idx val="0"/>
              <c:layout>
                <c:manualLayout>
                  <c:x val="2.83788087948811E-2"/>
                  <c:y val="-4.69069975176987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52-493D-AB05-5968F5668501}"/>
                </c:ext>
              </c:extLst>
            </c:dLbl>
            <c:dLbl>
              <c:idx val="1"/>
              <c:layout>
                <c:manualLayout>
                  <c:x val="-3.7509507489621192E-3"/>
                  <c:y val="-7.04413260678373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52-493D-AB05-5968F56685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'Emissions Chart'!$U$1:$V$1</c:f>
              <c:strCache>
                <c:ptCount val="2"/>
                <c:pt idx="0">
                  <c:v> Gasoline H2O </c:v>
                </c:pt>
                <c:pt idx="1">
                  <c:v> Natural Gas H2O </c:v>
                </c:pt>
              </c:strCache>
            </c:strRef>
          </c:cat>
          <c:val>
            <c:numRef>
              <c:f>'Emissions Chart'!$U$2:$V$2</c:f>
              <c:numCache>
                <c:formatCode>_(* #,##0.00_);_(* \(#,##0.00\);_(* "-"??_);_(@_)</c:formatCode>
                <c:ptCount val="2"/>
                <c:pt idx="0">
                  <c:v>567.99999999999989</c:v>
                </c:pt>
                <c:pt idx="1">
                  <c:v>255.98188799999997</c:v>
                </c:pt>
              </c:numCache>
            </c:numRef>
          </c:val>
          <c:extLst>
            <c:ext xmlns:c16="http://schemas.microsoft.com/office/drawing/2014/chart" uri="{C3380CC4-5D6E-409C-BE32-E72D297353CC}">
              <c16:uniqueId val="{00000000-DE52-493D-AB05-5968F566850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2.3023036681464104E-2"/>
          <c:y val="0.80047992688577962"/>
          <c:w val="0.94727032224688268"/>
          <c:h val="0.17206458116619941"/>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CO2 (Lbs)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0.28178495535629261"/>
          <c:y val="0.20563909488578533"/>
          <c:w val="0.39434750144109132"/>
          <c:h val="0.55102591704676673"/>
        </c:manualLayout>
      </c:layout>
      <c:pie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C64C-4D8B-9CD6-FE7C7B6B90F1}"/>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C64C-4D8B-9CD6-FE7C7B6B90F1}"/>
              </c:ext>
            </c:extLst>
          </c:dPt>
          <c:dLbls>
            <c:dLbl>
              <c:idx val="1"/>
              <c:layout>
                <c:manualLayout>
                  <c:x val="-8.3919519664726161E-2"/>
                  <c:y val="5.518194290406923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4C-4D8B-9CD6-FE7C7B6B90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'Emissions Chart'!$S$1:$T$1</c:f>
              <c:strCache>
                <c:ptCount val="2"/>
                <c:pt idx="0">
                  <c:v> Gasoline CO2 </c:v>
                </c:pt>
                <c:pt idx="1">
                  <c:v> Natural Gas CO2 </c:v>
                </c:pt>
              </c:strCache>
            </c:strRef>
          </c:cat>
          <c:val>
            <c:numRef>
              <c:f>'Emissions Chart'!$S$2:$T$2</c:f>
              <c:numCache>
                <c:formatCode>_(* #,##0.00_);_(* \(#,##0.00\);_(* "-"??_);_(@_)</c:formatCode>
                <c:ptCount val="2"/>
                <c:pt idx="0">
                  <c:v>1391.6000000000001</c:v>
                </c:pt>
                <c:pt idx="1">
                  <c:v>207.98528400000001</c:v>
                </c:pt>
              </c:numCache>
            </c:numRef>
          </c:val>
          <c:extLst>
            <c:ext xmlns:c16="http://schemas.microsoft.com/office/drawing/2014/chart" uri="{C3380CC4-5D6E-409C-BE32-E72D297353CC}">
              <c16:uniqueId val="{00000000-E96C-494E-A0BD-2FE33AC922A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1.0120095479346041E-2"/>
          <c:y val="0.82086398845958741"/>
          <c:w val="0.96519769285455803"/>
          <c:h val="0.16210021605685912"/>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Gasoline vs Natural Gas Emissions (Lbs)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1549059184520463E-2"/>
          <c:y val="0.20705442426258894"/>
          <c:w val="0.95950979504915312"/>
          <c:h val="0.41866906059819448"/>
        </c:manualLayout>
      </c:layout>
      <c:bar3DChart>
        <c:barDir val="col"/>
        <c:grouping val="standard"/>
        <c:varyColors val="0"/>
        <c:ser>
          <c:idx val="0"/>
          <c:order val="0"/>
          <c:tx>
            <c:v>Gasoline</c:v>
          </c:tx>
          <c:spPr>
            <a:gradFill>
              <a:gsLst>
                <a:gs pos="100000">
                  <a:schemeClr val="accent1">
                    <a:alpha val="0"/>
                  </a:schemeClr>
                </a:gs>
                <a:gs pos="50000">
                  <a:schemeClr val="accent1"/>
                </a:gs>
              </a:gsLst>
              <a:lin ang="5400000" scaled="0"/>
            </a:gradFill>
            <a:ln>
              <a:noFill/>
            </a:ln>
            <a:effectLst/>
            <a:sp3d/>
          </c:spPr>
          <c:invertIfNegative val="0"/>
          <c:dLbls>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15:showLeaderLines val="0"/>
              </c:ext>
            </c:extLst>
          </c:dLbls>
          <c:cat>
            <c:strRef>
              <c:extLst>
                <c:ext xmlns:c15="http://schemas.microsoft.com/office/drawing/2012/chart" uri="{02D57815-91ED-43cb-92C2-25804820EDAC}">
                  <c15:fullRef>
                    <c15:sqref>'Emissions Chart'!$B$1:$D$1</c15:sqref>
                  </c15:fullRef>
                </c:ext>
              </c:extLst>
              <c:f>'Emissions Chart'!$C$1:$D$1</c:f>
              <c:strCache>
                <c:ptCount val="2"/>
                <c:pt idx="0">
                  <c:v> Carbon dioxide (CO₂) </c:v>
                </c:pt>
                <c:pt idx="1">
                  <c:v> Water vapor (H₂O) </c:v>
                </c:pt>
              </c:strCache>
            </c:strRef>
          </c:cat>
          <c:val>
            <c:numRef>
              <c:extLst>
                <c:ext xmlns:c15="http://schemas.microsoft.com/office/drawing/2012/chart" uri="{02D57815-91ED-43cb-92C2-25804820EDAC}">
                  <c15:fullRef>
                    <c15:sqref>'Emissions Chart'!$B$2:$D$2</c15:sqref>
                  </c15:fullRef>
                </c:ext>
              </c:extLst>
              <c:f>'Emissions Chart'!$C$2:$D$2</c:f>
              <c:numCache>
                <c:formatCode>_(* #,##0.00_);_(* \(#,##0.00\);_(* "-"??_);_(@_)</c:formatCode>
                <c:ptCount val="2"/>
                <c:pt idx="0">
                  <c:v>1391.6000000000001</c:v>
                </c:pt>
                <c:pt idx="1">
                  <c:v>567.99999999999989</c:v>
                </c:pt>
              </c:numCache>
            </c:numRef>
          </c:val>
          <c:extLst>
            <c:ext xmlns:c15="http://schemas.microsoft.com/office/drawing/2012/chart" uri="{02D57815-91ED-43cb-92C2-25804820EDAC}">
              <c15:categoryFilterExceptions>
                <c15:categoryFilterException>
                  <c15:sqref>'Emissions Chart'!$B$2</c15:sqref>
                  <c15:dLbl>
                    <c:idx val="-1"/>
                    <c:layout>
                      <c:manualLayout>
                        <c:x val="2.2955527130601214E-2"/>
                        <c:y val="-5.596190948580216E-17"/>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0-D0EF-48FE-9804-1E2DE17815F5}"/>
                      </c:ext>
                    </c:extLst>
                  </c15:dLbl>
                </c15:categoryFilterException>
              </c15:categoryFilterExceptions>
            </c:ext>
            <c:ext xmlns:c16="http://schemas.microsoft.com/office/drawing/2014/chart" uri="{C3380CC4-5D6E-409C-BE32-E72D297353CC}">
              <c16:uniqueId val="{00000005-2287-4D33-A42F-70DF1F7EBFB1}"/>
            </c:ext>
          </c:extLst>
        </c:ser>
        <c:ser>
          <c:idx val="1"/>
          <c:order val="1"/>
          <c:tx>
            <c:v>Natural Gas</c:v>
          </c:tx>
          <c:spPr>
            <a:gradFill>
              <a:gsLst>
                <a:gs pos="100000">
                  <a:schemeClr val="accent2">
                    <a:alpha val="0"/>
                  </a:schemeClr>
                </a:gs>
                <a:gs pos="50000">
                  <a:schemeClr val="accent2"/>
                </a:gs>
              </a:gsLst>
              <a:lin ang="5400000" scaled="0"/>
            </a:gradFill>
            <a:ln>
              <a:noFill/>
            </a:ln>
            <a:effectLst/>
            <a:sp3d/>
          </c:spPr>
          <c:invertIfNegative val="0"/>
          <c:dLbls>
            <c:dLbl>
              <c:idx val="0"/>
              <c:layout>
                <c:manualLayout>
                  <c:x val="0.10408921933085502"/>
                  <c:y val="7.32600732600732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287-4D33-A42F-70DF1F7EBFB1}"/>
                </c:ext>
              </c:extLst>
            </c:dLbl>
            <c:dLbl>
              <c:idx val="1"/>
              <c:layout>
                <c:manualLayout>
                  <c:x val="0.11400247831474597"/>
                  <c:y val="5.18925518925518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287-4D33-A42F-70DF1F7EBFB1}"/>
                </c:ext>
              </c:extLst>
            </c:dLbl>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15:showLeaderLines val="0"/>
              </c:ext>
            </c:extLst>
          </c:dLbls>
          <c:cat>
            <c:strRef>
              <c:extLst>
                <c:ext xmlns:c15="http://schemas.microsoft.com/office/drawing/2012/chart" uri="{02D57815-91ED-43cb-92C2-25804820EDAC}">
                  <c15:fullRef>
                    <c15:sqref>'Emissions Chart'!$B$1:$D$1</c15:sqref>
                  </c15:fullRef>
                </c:ext>
              </c:extLst>
              <c:f>'Emissions Chart'!$C$1:$D$1</c:f>
              <c:strCache>
                <c:ptCount val="2"/>
                <c:pt idx="0">
                  <c:v> Carbon dioxide (CO₂) </c:v>
                </c:pt>
                <c:pt idx="1">
                  <c:v> Water vapor (H₂O) </c:v>
                </c:pt>
              </c:strCache>
            </c:strRef>
          </c:cat>
          <c:val>
            <c:numRef>
              <c:extLst>
                <c:ext xmlns:c15="http://schemas.microsoft.com/office/drawing/2012/chart" uri="{02D57815-91ED-43cb-92C2-25804820EDAC}">
                  <c15:fullRef>
                    <c15:sqref>'Emissions Chart'!$K$2:$M$2</c15:sqref>
                  </c15:fullRef>
                </c:ext>
              </c:extLst>
              <c:f>'Emissions Chart'!$L$2:$M$2</c:f>
              <c:numCache>
                <c:formatCode>_(* #,##0.00_);_(* \(#,##0.00\);_(* "-"??_);_(@_)</c:formatCode>
                <c:ptCount val="2"/>
                <c:pt idx="0">
                  <c:v>207.98528400000001</c:v>
                </c:pt>
                <c:pt idx="1">
                  <c:v>255.98188799999997</c:v>
                </c:pt>
              </c:numCache>
            </c:numRef>
          </c:val>
          <c:extLst>
            <c:ext xmlns:c15="http://schemas.microsoft.com/office/drawing/2012/chart" uri="{02D57815-91ED-43cb-92C2-25804820EDAC}">
              <c15:categoryFilterExceptions>
                <c15:categoryFilterException>
                  <c15:sqref>'Emissions Chart'!$K$2</c15:sqref>
                  <c15:dLbl>
                    <c:idx val="-1"/>
                    <c:layout>
                      <c:manualLayout>
                        <c:x val="2.2955527130601283E-2"/>
                        <c:y val="0"/>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1-D0EF-48FE-9804-1E2DE17815F5}"/>
                      </c:ext>
                    </c:extLst>
                  </c15:dLbl>
                </c15:categoryFilterException>
              </c15:categoryFilterExceptions>
            </c:ext>
            <c:ext xmlns:c16="http://schemas.microsoft.com/office/drawing/2014/chart" uri="{C3380CC4-5D6E-409C-BE32-E72D297353CC}">
              <c16:uniqueId val="{0000000B-2287-4D33-A42F-70DF1F7EBFB1}"/>
            </c:ext>
          </c:extLst>
        </c:ser>
        <c:dLbls>
          <c:showLegendKey val="0"/>
          <c:showVal val="0"/>
          <c:showCatName val="0"/>
          <c:showSerName val="0"/>
          <c:showPercent val="0"/>
          <c:showBubbleSize val="0"/>
        </c:dLbls>
        <c:gapWidth val="150"/>
        <c:gapDepth val="0"/>
        <c:shape val="box"/>
        <c:axId val="789349312"/>
        <c:axId val="789358912"/>
        <c:axId val="605692912"/>
      </c:bar3DChart>
      <c:catAx>
        <c:axId val="789349312"/>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358912"/>
        <c:crosses val="autoZero"/>
        <c:auto val="1"/>
        <c:lblAlgn val="ctr"/>
        <c:lblOffset val="100"/>
        <c:noMultiLvlLbl val="0"/>
      </c:catAx>
      <c:valAx>
        <c:axId val="789358912"/>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349312"/>
        <c:crosses val="autoZero"/>
        <c:crossBetween val="between"/>
      </c:valAx>
      <c:serAx>
        <c:axId val="605692912"/>
        <c:scaling>
          <c:orientation val="maxMin"/>
        </c:scaling>
        <c:delete val="0"/>
        <c:axPos val="b"/>
        <c:majorTickMark val="none"/>
        <c:minorTickMark val="none"/>
        <c:tickLblPos val="high"/>
        <c:spPr>
          <a:noFill/>
          <a:ln w="9525" cap="flat" cmpd="sng" algn="ctr">
            <a:solidFill>
              <a:schemeClr val="tx1">
                <a:lumMod val="15000"/>
                <a:lumOff val="85000"/>
              </a:schemeClr>
            </a:solidFill>
            <a:round/>
            <a:headEnd type="none" w="sm" len="sm"/>
            <a:tailEnd type="none" w="sm" len="sm"/>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3589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baseline="0"/>
              <a:t>N2 </a:t>
            </a:r>
            <a:r>
              <a:rPr lang="en-US"/>
              <a:t>(lbs)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0.26663230780446479"/>
          <c:y val="0.19842841167163816"/>
          <c:w val="0.43541982852016875"/>
          <c:h val="0.51294218143991843"/>
        </c:manualLayout>
      </c:layout>
      <c:pie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D8B1-4AAE-845E-21009A1635C6}"/>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D8B1-4AAE-845E-21009A1635C6}"/>
              </c:ext>
            </c:extLst>
          </c:dPt>
          <c:dLbls>
            <c:dLbl>
              <c:idx val="1"/>
              <c:layout>
                <c:manualLayout>
                  <c:x val="0.34991939416293399"/>
                  <c:y val="-5.938633776972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B1-4AAE-845E-21009A1635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'Emissions Chart'!$W$1:$X$1</c:f>
              <c:strCache>
                <c:ptCount val="2"/>
                <c:pt idx="0">
                  <c:v> Gasoline N2 </c:v>
                </c:pt>
                <c:pt idx="1">
                  <c:v> Natural Gas N2 </c:v>
                </c:pt>
              </c:strCache>
            </c:strRef>
          </c:cat>
          <c:val>
            <c:numRef>
              <c:f>'Emissions Chart'!$W$2:$X$2</c:f>
              <c:numCache>
                <c:formatCode>_(* #,##0_);_(* \(#,##0\);_(* "-"??_);_(@_)</c:formatCode>
                <c:ptCount val="2"/>
                <c:pt idx="0" formatCode="0">
                  <c:v>0</c:v>
                </c:pt>
                <c:pt idx="1">
                  <c:v>8354.9643999999989</c:v>
                </c:pt>
              </c:numCache>
            </c:numRef>
          </c:val>
          <c:extLst>
            <c:ext xmlns:c16="http://schemas.microsoft.com/office/drawing/2014/chart" uri="{C3380CC4-5D6E-409C-BE32-E72D297353CC}">
              <c16:uniqueId val="{00000004-D8B1-4AAE-845E-21009A1635C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2.3023036681464104E-2"/>
          <c:y val="0.80047992688577962"/>
          <c:w val="0.94727032224688268"/>
          <c:h val="0.17206458116619941"/>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Gasoline vs Natural Gas Emissions (Lbs)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5781142361908431E-2"/>
          <c:y val="0.22345026499283779"/>
          <c:w val="0.95950979504915312"/>
          <c:h val="0.40758651208328189"/>
        </c:manualLayout>
      </c:layout>
      <c:bar3DChart>
        <c:barDir val="col"/>
        <c:grouping val="standard"/>
        <c:varyColors val="0"/>
        <c:ser>
          <c:idx val="0"/>
          <c:order val="0"/>
          <c:tx>
            <c:v>Gasoline</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dLbl>
              <c:idx val="0"/>
              <c:layout>
                <c:manualLayout>
                  <c:x val="4.589509213511999E-2"/>
                  <c:y val="-1.7138071556844867E-3"/>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98415"/>
                        <a:gd name="adj2" fmla="val 63733"/>
                        <a:gd name="adj3" fmla="val 144153"/>
                        <a:gd name="adj4" fmla="val -98256"/>
                      </a:avLst>
                    </a:prstGeom>
                    <a:noFill/>
                    <a:ln>
                      <a:noFill/>
                    </a:ln>
                  </c15:spPr>
                </c:ext>
                <c:ext xmlns:c16="http://schemas.microsoft.com/office/drawing/2014/chart" uri="{C3380CC4-5D6E-409C-BE32-E72D297353CC}">
                  <c16:uniqueId val="{00000000-BE44-478A-975D-7FB9A111CAB4}"/>
                </c:ext>
              </c:extLst>
            </c:dLbl>
            <c:dLbl>
              <c:idx val="1"/>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19659"/>
                        <a:gd name="adj2" fmla="val 63733"/>
                        <a:gd name="adj3" fmla="val 233090"/>
                        <a:gd name="adj4" fmla="val 48702"/>
                      </a:avLst>
                    </a:prstGeom>
                    <a:noFill/>
                    <a:ln>
                      <a:noFill/>
                    </a:ln>
                  </c15:spPr>
                </c:ext>
                <c:ext xmlns:c16="http://schemas.microsoft.com/office/drawing/2014/chart" uri="{C3380CC4-5D6E-409C-BE32-E72D297353CC}">
                  <c16:uniqueId val="{00000001-BE44-478A-975D-7FB9A111CAB4}"/>
                </c:ext>
              </c:extLst>
            </c:dLbl>
            <c:dLbl>
              <c:idx val="2"/>
              <c:layout>
                <c:manualLayout>
                  <c:x val="-1.6120366531721542E-2"/>
                  <c:y val="-5.2439580483356132E-2"/>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19659"/>
                        <a:gd name="adj2" fmla="val 48066"/>
                        <a:gd name="adj3" fmla="val 369748"/>
                        <a:gd name="adj4" fmla="val 92935"/>
                      </a:avLst>
                    </a:prstGeom>
                    <a:noFill/>
                    <a:ln>
                      <a:noFill/>
                    </a:ln>
                  </c15:spPr>
                </c:ext>
                <c:ext xmlns:c16="http://schemas.microsoft.com/office/drawing/2014/chart" uri="{C3380CC4-5D6E-409C-BE32-E72D297353CC}">
                  <c16:uniqueId val="{00000002-BE44-478A-975D-7FB9A111CAB4}"/>
                </c:ext>
              </c:extLst>
            </c:dLbl>
            <c:dLbl>
              <c:idx val="3"/>
              <c:layout>
                <c:manualLayout>
                  <c:x val="0"/>
                  <c:y val="-6.383948928408581E-2"/>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14348"/>
                        <a:gd name="adj2" fmla="val 54333"/>
                        <a:gd name="adj3" fmla="val 297860"/>
                        <a:gd name="adj4" fmla="val 50097"/>
                      </a:avLst>
                    </a:prstGeom>
                    <a:noFill/>
                    <a:ln>
                      <a:noFill/>
                    </a:ln>
                  </c15:spPr>
                </c:ext>
                <c:ext xmlns:c16="http://schemas.microsoft.com/office/drawing/2014/chart" uri="{C3380CC4-5D6E-409C-BE32-E72D297353CC}">
                  <c16:uniqueId val="{00000003-BE44-478A-975D-7FB9A111CAB4}"/>
                </c:ext>
              </c:extLst>
            </c:dLbl>
            <c:dLbl>
              <c:idx val="4"/>
              <c:layout>
                <c:manualLayout>
                  <c:x val="-3.6061461273126372E-2"/>
                  <c:y val="-3.2894736842105317E-2"/>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98415"/>
                        <a:gd name="adj2" fmla="val 69999"/>
                        <a:gd name="adj3" fmla="val 267084"/>
                        <a:gd name="adj4" fmla="val 120899"/>
                      </a:avLst>
                    </a:prstGeom>
                    <a:noFill/>
                    <a:ln>
                      <a:noFill/>
                    </a:ln>
                  </c15:spPr>
                </c:ext>
                <c:ext xmlns:c16="http://schemas.microsoft.com/office/drawing/2014/chart" uri="{C3380CC4-5D6E-409C-BE32-E72D297353CC}">
                  <c16:uniqueId val="{00000004-BE44-478A-975D-7FB9A111CAB4}"/>
                </c:ext>
              </c:extLst>
            </c:dLbl>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15:showLeaderLines val="0"/>
              </c:ext>
            </c:extLst>
          </c:dLbls>
          <c:cat>
            <c:strRef>
              <c:f>'Emissions Chart (Scenario)'!$N$1:$R$1</c:f>
              <c:strCache>
                <c:ptCount val="5"/>
                <c:pt idx="0">
                  <c:v> Carbon monoxide (CO) </c:v>
                </c:pt>
                <c:pt idx="1">
                  <c:v> Nitrogen oxides (NOₓ) </c:v>
                </c:pt>
                <c:pt idx="2">
                  <c:v> Unburned hydrocarbons (VOCs) </c:v>
                </c:pt>
                <c:pt idx="3">
                  <c:v> Particulate matter (PM2.5) </c:v>
                </c:pt>
                <c:pt idx="4">
                  <c:v> Sulfur dioxide (SO₂) </c:v>
                </c:pt>
              </c:strCache>
            </c:strRef>
          </c:cat>
          <c:val>
            <c:numRef>
              <c:f>'Emissions Chart (Scenario)'!$E$2:$I$2</c:f>
              <c:numCache>
                <c:formatCode>_(* #,##0.00_);_(* \(#,##0.00\);_(* "-"??_);_(@_)</c:formatCode>
                <c:ptCount val="5"/>
                <c:pt idx="0">
                  <c:v>0.8</c:v>
                </c:pt>
                <c:pt idx="1">
                  <c:v>0.4</c:v>
                </c:pt>
                <c:pt idx="2">
                  <c:v>0.08</c:v>
                </c:pt>
                <c:pt idx="3">
                  <c:v>0.04</c:v>
                </c:pt>
                <c:pt idx="4">
                  <c:v>0.16</c:v>
                </c:pt>
              </c:numCache>
            </c:numRef>
          </c:val>
          <c:extLst>
            <c:ext xmlns:c16="http://schemas.microsoft.com/office/drawing/2014/chart" uri="{C3380CC4-5D6E-409C-BE32-E72D297353CC}">
              <c16:uniqueId val="{00000005-BE44-478A-975D-7FB9A111CAB4}"/>
            </c:ext>
          </c:extLst>
        </c:ser>
        <c:ser>
          <c:idx val="1"/>
          <c:order val="1"/>
          <c:tx>
            <c:v>Natural Gas</c:v>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dLbl>
              <c:idx val="0"/>
              <c:layout>
                <c:manualLayout>
                  <c:x val="-5.3650281602852325E-2"/>
                  <c:y val="-1.7647465119491643E-2"/>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99236"/>
                        <a:gd name="adj2" fmla="val 64427"/>
                        <a:gd name="adj3" fmla="val 243775"/>
                        <a:gd name="adj4" fmla="val 152962"/>
                      </a:avLst>
                    </a:prstGeom>
                    <a:noFill/>
                    <a:ln>
                      <a:noFill/>
                    </a:ln>
                  </c15:spPr>
                </c:ext>
                <c:ext xmlns:c16="http://schemas.microsoft.com/office/drawing/2014/chart" uri="{C3380CC4-5D6E-409C-BE32-E72D297353CC}">
                  <c16:uniqueId val="{00000006-BE44-478A-975D-7FB9A111CAB4}"/>
                </c:ext>
              </c:extLst>
            </c:dLbl>
            <c:dLbl>
              <c:idx val="1"/>
              <c:layout>
                <c:manualLayout>
                  <c:x val="-3.0018172704893546E-2"/>
                  <c:y val="-8.5273777455449652E-3"/>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93748"/>
                        <a:gd name="adj2" fmla="val 58139"/>
                        <a:gd name="adj3" fmla="val 258593"/>
                        <a:gd name="adj4" fmla="val 130059"/>
                      </a:avLst>
                    </a:prstGeom>
                    <a:noFill/>
                    <a:ln>
                      <a:noFill/>
                    </a:ln>
                  </c15:spPr>
                </c:ext>
                <c:ext xmlns:c16="http://schemas.microsoft.com/office/drawing/2014/chart" uri="{C3380CC4-5D6E-409C-BE32-E72D297353CC}">
                  <c16:uniqueId val="{00000007-BE44-478A-975D-7FB9A111CAB4}"/>
                </c:ext>
              </c:extLst>
            </c:dLbl>
            <c:dLbl>
              <c:idx val="2"/>
              <c:layout>
                <c:manualLayout>
                  <c:x val="-3.876082399389634E-2"/>
                  <c:y val="-1.3522456485702496E-2"/>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09819"/>
                        <a:gd name="adj2" fmla="val 54974"/>
                        <a:gd name="adj3" fmla="val 169614"/>
                        <a:gd name="adj4" fmla="val 154116"/>
                      </a:avLst>
                    </a:prstGeom>
                    <a:noFill/>
                    <a:ln>
                      <a:noFill/>
                    </a:ln>
                  </c15:spPr>
                </c:ext>
                <c:ext xmlns:c16="http://schemas.microsoft.com/office/drawing/2014/chart" uri="{C3380CC4-5D6E-409C-BE32-E72D297353CC}">
                  <c16:uniqueId val="{00000008-BE44-478A-975D-7FB9A111CAB4}"/>
                </c:ext>
              </c:extLst>
            </c:dLbl>
            <c:dLbl>
              <c:idx val="3"/>
              <c:layout>
                <c:manualLayout>
                  <c:x val="-4.4583373456492915E-2"/>
                  <c:y val="-7.1174799696091121E-3"/>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25889"/>
                        <a:gd name="adj2" fmla="val 35358"/>
                        <a:gd name="adj3" fmla="val 153618"/>
                        <a:gd name="adj4" fmla="val 325527"/>
                      </a:avLst>
                    </a:prstGeom>
                    <a:noFill/>
                    <a:ln>
                      <a:noFill/>
                    </a:ln>
                  </c15:spPr>
                </c:ext>
                <c:ext xmlns:c16="http://schemas.microsoft.com/office/drawing/2014/chart" uri="{C3380CC4-5D6E-409C-BE32-E72D297353CC}">
                  <c16:uniqueId val="{00000009-BE44-478A-975D-7FB9A111CAB4}"/>
                </c:ext>
              </c:extLst>
            </c:dLbl>
            <c:dLbl>
              <c:idx val="4"/>
              <c:layout>
                <c:manualLayout>
                  <c:x val="-5.3764910383379994E-2"/>
                  <c:y val="-1.8108509462632962E-2"/>
                </c:manualLayout>
              </c:layout>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20532"/>
                        <a:gd name="adj2" fmla="val 28076"/>
                        <a:gd name="adj3" fmla="val 182992"/>
                        <a:gd name="adj4" fmla="val 382339"/>
                      </a:avLst>
                    </a:prstGeom>
                    <a:noFill/>
                    <a:ln>
                      <a:noFill/>
                    </a:ln>
                  </c15:spPr>
                </c:ext>
                <c:ext xmlns:c16="http://schemas.microsoft.com/office/drawing/2014/chart" uri="{C3380CC4-5D6E-409C-BE32-E72D297353CC}">
                  <c16:uniqueId val="{0000000A-BE44-478A-975D-7FB9A111CAB4}"/>
                </c:ext>
              </c:extLst>
            </c:dLbl>
            <c:spPr>
              <a:solidFill>
                <a:schemeClr val="dk1">
                  <a:lumMod val="65000"/>
                  <a:lumOff val="35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15:showLeaderLines val="0"/>
              </c:ext>
            </c:extLst>
          </c:dLbls>
          <c:val>
            <c:numRef>
              <c:f>'Emissions Chart (Scenario)'!$N$2:$R$2</c:f>
              <c:numCache>
                <c:formatCode>_(* #,##0.00_);_(* \(#,##0.00\);_(* "-"??_);_(@_)</c:formatCode>
                <c:ptCount val="5"/>
                <c:pt idx="0">
                  <c:v>0.38640000000000002</c:v>
                </c:pt>
                <c:pt idx="1">
                  <c:v>0.45999999999999996</c:v>
                </c:pt>
                <c:pt idx="2">
                  <c:v>2.3000000000000003E-2</c:v>
                </c:pt>
                <c:pt idx="3" formatCode="0">
                  <c:v>0</c:v>
                </c:pt>
                <c:pt idx="4" formatCode="0">
                  <c:v>0</c:v>
                </c:pt>
              </c:numCache>
            </c:numRef>
          </c:val>
          <c:extLst>
            <c:ext xmlns:c16="http://schemas.microsoft.com/office/drawing/2014/chart" uri="{C3380CC4-5D6E-409C-BE32-E72D297353CC}">
              <c16:uniqueId val="{0000000B-BE44-478A-975D-7FB9A111CAB4}"/>
            </c:ext>
          </c:extLst>
        </c:ser>
        <c:dLbls>
          <c:showLegendKey val="0"/>
          <c:showVal val="0"/>
          <c:showCatName val="0"/>
          <c:showSerName val="0"/>
          <c:showPercent val="0"/>
          <c:showBubbleSize val="0"/>
        </c:dLbls>
        <c:gapWidth val="65"/>
        <c:shape val="box"/>
        <c:axId val="789349312"/>
        <c:axId val="789358912"/>
        <c:axId val="605692912"/>
      </c:bar3DChart>
      <c:catAx>
        <c:axId val="7893493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540000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9358912"/>
        <c:crosses val="autoZero"/>
        <c:auto val="1"/>
        <c:lblAlgn val="ctr"/>
        <c:lblOffset val="100"/>
        <c:noMultiLvlLbl val="0"/>
      </c:catAx>
      <c:valAx>
        <c:axId val="789358912"/>
        <c:scaling>
          <c:orientation val="minMax"/>
        </c:scaling>
        <c:delete val="0"/>
        <c:axPos val="l"/>
        <c:majorGridlines>
          <c:spPr>
            <a:ln w="9525" cap="flat" cmpd="sng" algn="ctr">
              <a:solidFill>
                <a:schemeClr val="dk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89349312"/>
        <c:crosses val="autoZero"/>
        <c:crossBetween val="between"/>
      </c:valAx>
      <c:serAx>
        <c:axId val="605692912"/>
        <c:scaling>
          <c:orientation val="maxMin"/>
        </c:scaling>
        <c:delete val="0"/>
        <c:axPos val="b"/>
        <c:majorTickMark val="none"/>
        <c:minorTickMark val="none"/>
        <c:tickLblPos val="high"/>
        <c:spPr>
          <a:noFill/>
          <a:ln>
            <a:noFill/>
          </a:ln>
          <a:effectLst/>
        </c:spPr>
        <c:txPr>
          <a:bodyPr rot="5400000" spcFirstLastPara="1" vertOverflow="ellipsis"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893589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H2O</a:t>
            </a:r>
            <a:r>
              <a:rPr lang="en-US" baseline="0"/>
              <a:t> </a:t>
            </a:r>
            <a:r>
              <a:rPr lang="en-US"/>
              <a:t>(lbs)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0.26663230780446479"/>
          <c:y val="0.19842841167163816"/>
          <c:w val="0.43541982852016875"/>
          <c:h val="0.51294218143991843"/>
        </c:manualLayout>
      </c:layout>
      <c:pie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F3E0-4BA9-9AFB-F8AFBD296874}"/>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F3E0-4BA9-9AFB-F8AFBD296874}"/>
              </c:ext>
            </c:extLst>
          </c:dPt>
          <c:dLbls>
            <c:dLbl>
              <c:idx val="0"/>
              <c:layout>
                <c:manualLayout>
                  <c:x val="2.83788087948811E-2"/>
                  <c:y val="-4.69069975176987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0-4BA9-9AFB-F8AFBD296874}"/>
                </c:ext>
              </c:extLst>
            </c:dLbl>
            <c:dLbl>
              <c:idx val="1"/>
              <c:layout>
                <c:manualLayout>
                  <c:x val="-3.7509507489621192E-3"/>
                  <c:y val="-7.04413260678373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0-4BA9-9AFB-F8AFBD2968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'Emissions Chart (Scenario)'!$U$1:$V$1</c:f>
              <c:strCache>
                <c:ptCount val="2"/>
                <c:pt idx="0">
                  <c:v> Gasoline H2O </c:v>
                </c:pt>
                <c:pt idx="1">
                  <c:v> Natural Gas H2O </c:v>
                </c:pt>
              </c:strCache>
            </c:strRef>
          </c:cat>
          <c:val>
            <c:numRef>
              <c:f>'Emissions Chart (Scenario)'!$U$2:$V$2</c:f>
              <c:numCache>
                <c:formatCode>_(* #,##0.00_);_(* \(#,##0.00\);_(* "-"??_);_(@_)</c:formatCode>
                <c:ptCount val="2"/>
                <c:pt idx="0">
                  <c:v>320</c:v>
                </c:pt>
                <c:pt idx="1">
                  <c:v>662.4</c:v>
                </c:pt>
              </c:numCache>
            </c:numRef>
          </c:val>
          <c:extLst>
            <c:ext xmlns:c16="http://schemas.microsoft.com/office/drawing/2014/chart" uri="{C3380CC4-5D6E-409C-BE32-E72D297353CC}">
              <c16:uniqueId val="{00000004-F3E0-4BA9-9AFB-F8AFBD29687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2.3023036681464104E-2"/>
          <c:y val="0.80047992688577962"/>
          <c:w val="0.94727032224688268"/>
          <c:h val="0.17206458116619941"/>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CO2 (Lbs)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0.28178495535629261"/>
          <c:y val="0.20563909488578533"/>
          <c:w val="0.39434750144109132"/>
          <c:h val="0.55102591704676673"/>
        </c:manualLayout>
      </c:layout>
      <c:pie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0D13-4EC2-8E65-8856B674D7E7}"/>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0D13-4EC2-8E65-8856B674D7E7}"/>
              </c:ext>
            </c:extLst>
          </c:dPt>
          <c:dLbls>
            <c:dLbl>
              <c:idx val="1"/>
              <c:layout>
                <c:manualLayout>
                  <c:x val="-8.3919519664726161E-2"/>
                  <c:y val="5.518194290406923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13-4EC2-8E65-8856B674D7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'Emissions Chart (Scenario)'!$S$1:$T$1</c:f>
              <c:strCache>
                <c:ptCount val="2"/>
                <c:pt idx="0">
                  <c:v> Gasoline CO2 </c:v>
                </c:pt>
                <c:pt idx="1">
                  <c:v> Natural Gas CO2 </c:v>
                </c:pt>
              </c:strCache>
            </c:strRef>
          </c:cat>
          <c:val>
            <c:numRef>
              <c:f>'Emissions Chart (Scenario)'!$S$2:$T$2</c:f>
              <c:numCache>
                <c:formatCode>_(* #,##0.00_);_(* \(#,##0.00\);_(* "-"??_);_(@_)</c:formatCode>
                <c:ptCount val="2"/>
                <c:pt idx="0">
                  <c:v>784</c:v>
                </c:pt>
                <c:pt idx="1">
                  <c:v>538.20000000000005</c:v>
                </c:pt>
              </c:numCache>
            </c:numRef>
          </c:val>
          <c:extLst>
            <c:ext xmlns:c16="http://schemas.microsoft.com/office/drawing/2014/chart" uri="{C3380CC4-5D6E-409C-BE32-E72D297353CC}">
              <c16:uniqueId val="{00000004-0D13-4EC2-8E65-8856B674D7E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1.0120095479346041E-2"/>
          <c:y val="0.82086398845958741"/>
          <c:w val="0.96519769285455803"/>
          <c:h val="0.16210021605685912"/>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Gasoline vs Natural Gas Emissions (Lbs)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3656887772777634E-2"/>
          <c:y val="0.21999629853960562"/>
          <c:w val="0.95950979504915312"/>
          <c:h val="0.41866906059819448"/>
        </c:manualLayout>
      </c:layout>
      <c:bar3DChart>
        <c:barDir val="col"/>
        <c:grouping val="standard"/>
        <c:varyColors val="0"/>
        <c:ser>
          <c:idx val="0"/>
          <c:order val="0"/>
          <c:tx>
            <c:v>Gasoline</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15:showLeaderLines val="0"/>
              </c:ext>
            </c:extLst>
          </c:dLbls>
          <c:cat>
            <c:strRef>
              <c:extLst>
                <c:ext xmlns:c15="http://schemas.microsoft.com/office/drawing/2012/chart" uri="{02D57815-91ED-43cb-92C2-25804820EDAC}">
                  <c15:fullRef>
                    <c15:sqref>'Emissions Chart (Scenario)'!$B$1:$D$1</c15:sqref>
                  </c15:fullRef>
                </c:ext>
              </c:extLst>
              <c:f>'Emissions Chart (Scenario)'!$C$1:$D$1</c:f>
              <c:strCache>
                <c:ptCount val="2"/>
                <c:pt idx="0">
                  <c:v> Carbon dioxide (CO₂) </c:v>
                </c:pt>
                <c:pt idx="1">
                  <c:v> Water vapor (H₂O) </c:v>
                </c:pt>
              </c:strCache>
            </c:strRef>
          </c:cat>
          <c:val>
            <c:numRef>
              <c:extLst>
                <c:ext xmlns:c15="http://schemas.microsoft.com/office/drawing/2012/chart" uri="{02D57815-91ED-43cb-92C2-25804820EDAC}">
                  <c15:fullRef>
                    <c15:sqref>'Emissions Chart (Scenario)'!$B$2:$D$2</c15:sqref>
                  </c15:fullRef>
                </c:ext>
              </c:extLst>
              <c:f>'Emissions Chart (Scenario)'!$C$2:$D$2</c:f>
              <c:numCache>
                <c:formatCode>_(* #,##0.00_);_(* \(#,##0.00\);_(* "-"??_);_(@_)</c:formatCode>
                <c:ptCount val="2"/>
                <c:pt idx="0">
                  <c:v>784</c:v>
                </c:pt>
                <c:pt idx="1">
                  <c:v>320</c:v>
                </c:pt>
              </c:numCache>
            </c:numRef>
          </c:val>
          <c:extLst>
            <c:ext xmlns:c15="http://schemas.microsoft.com/office/drawing/2012/chart" uri="{02D57815-91ED-43cb-92C2-25804820EDAC}">
              <c15:categoryFilterExceptions>
                <c15:categoryFilterException>
                  <c15:sqref>'Emissions Chart (Scenario)'!$B$2</c15:sqref>
                  <c15:dLbl>
                    <c:idx val="-1"/>
                    <c:layout>
                      <c:manualLayout>
                        <c:x val="2.2955527130601214E-2"/>
                        <c:y val="-5.596190948580216E-17"/>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0-CE6B-4D59-AB89-CAB0A40B24EE}"/>
                      </c:ext>
                    </c:extLst>
                  </c15:dLbl>
                </c15:categoryFilterException>
              </c15:categoryFilterExceptions>
            </c:ext>
            <c:ext xmlns:c16="http://schemas.microsoft.com/office/drawing/2014/chart" uri="{C3380CC4-5D6E-409C-BE32-E72D297353CC}">
              <c16:uniqueId val="{00000001-0C17-413F-B6B9-0396D1A2E1F6}"/>
            </c:ext>
          </c:extLst>
        </c:ser>
        <c:ser>
          <c:idx val="1"/>
          <c:order val="1"/>
          <c:tx>
            <c:v>Natural Gas</c:v>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dLbl>
              <c:idx val="0"/>
              <c:layout>
                <c:manualLayout>
                  <c:x val="0.10408921933085502"/>
                  <c:y val="7.32600732600732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17-413F-B6B9-0396D1A2E1F6}"/>
                </c:ext>
              </c:extLst>
            </c:dLbl>
            <c:dLbl>
              <c:idx val="1"/>
              <c:layout>
                <c:manualLayout>
                  <c:x val="0.11400247831474597"/>
                  <c:y val="5.18925518925518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C17-413F-B6B9-0396D1A2E1F6}"/>
                </c:ext>
              </c:extLst>
            </c:dLbl>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15:showLeaderLines val="0"/>
              </c:ext>
            </c:extLst>
          </c:dLbls>
          <c:cat>
            <c:strRef>
              <c:extLst>
                <c:ext xmlns:c15="http://schemas.microsoft.com/office/drawing/2012/chart" uri="{02D57815-91ED-43cb-92C2-25804820EDAC}">
                  <c15:fullRef>
                    <c15:sqref>'Emissions Chart (Scenario)'!$B$1:$D$1</c15:sqref>
                  </c15:fullRef>
                </c:ext>
              </c:extLst>
              <c:f>'Emissions Chart (Scenario)'!$C$1:$D$1</c:f>
              <c:strCache>
                <c:ptCount val="2"/>
                <c:pt idx="0">
                  <c:v> Carbon dioxide (CO₂) </c:v>
                </c:pt>
                <c:pt idx="1">
                  <c:v> Water vapor (H₂O) </c:v>
                </c:pt>
              </c:strCache>
            </c:strRef>
          </c:cat>
          <c:val>
            <c:numRef>
              <c:extLst>
                <c:ext xmlns:c15="http://schemas.microsoft.com/office/drawing/2012/chart" uri="{02D57815-91ED-43cb-92C2-25804820EDAC}">
                  <c15:fullRef>
                    <c15:sqref>'Emissions Chart (Scenario)'!$K$2:$M$2</c15:sqref>
                  </c15:fullRef>
                </c:ext>
              </c:extLst>
              <c:f>'Emissions Chart (Scenario)'!$L$2:$M$2</c:f>
              <c:numCache>
                <c:formatCode>_(* #,##0.00_);_(* \(#,##0.00\);_(* "-"??_);_(@_)</c:formatCode>
                <c:ptCount val="2"/>
                <c:pt idx="0">
                  <c:v>538.20000000000005</c:v>
                </c:pt>
                <c:pt idx="1">
                  <c:v>662.4</c:v>
                </c:pt>
              </c:numCache>
            </c:numRef>
          </c:val>
          <c:extLst>
            <c:ext xmlns:c15="http://schemas.microsoft.com/office/drawing/2012/chart" uri="{02D57815-91ED-43cb-92C2-25804820EDAC}">
              <c15:categoryFilterExceptions>
                <c15:categoryFilterException>
                  <c15:sqref>'Emissions Chart (Scenario)'!$K$2</c15:sqref>
                  <c15:dLbl>
                    <c:idx val="-1"/>
                    <c:layout>
                      <c:manualLayout>
                        <c:x val="2.2955527130601283E-2"/>
                        <c:y val="0"/>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1-CE6B-4D59-AB89-CAB0A40B24EE}"/>
                      </c:ext>
                    </c:extLst>
                  </c15:dLbl>
                </c15:categoryFilterException>
              </c15:categoryFilterExceptions>
            </c:ext>
            <c:ext xmlns:c16="http://schemas.microsoft.com/office/drawing/2014/chart" uri="{C3380CC4-5D6E-409C-BE32-E72D297353CC}">
              <c16:uniqueId val="{00000005-0C17-413F-B6B9-0396D1A2E1F6}"/>
            </c:ext>
          </c:extLst>
        </c:ser>
        <c:dLbls>
          <c:showLegendKey val="0"/>
          <c:showVal val="0"/>
          <c:showCatName val="0"/>
          <c:showSerName val="0"/>
          <c:showPercent val="0"/>
          <c:showBubbleSize val="0"/>
        </c:dLbls>
        <c:gapWidth val="65"/>
        <c:shape val="box"/>
        <c:axId val="789349312"/>
        <c:axId val="789358912"/>
        <c:axId val="605692912"/>
      </c:bar3DChart>
      <c:catAx>
        <c:axId val="7893493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540000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9358912"/>
        <c:crosses val="autoZero"/>
        <c:auto val="1"/>
        <c:lblAlgn val="ctr"/>
        <c:lblOffset val="100"/>
        <c:noMultiLvlLbl val="0"/>
      </c:catAx>
      <c:valAx>
        <c:axId val="789358912"/>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89349312"/>
        <c:crosses val="autoZero"/>
        <c:crossBetween val="between"/>
      </c:valAx>
      <c:serAx>
        <c:axId val="605692912"/>
        <c:scaling>
          <c:orientation val="maxMin"/>
        </c:scaling>
        <c:delete val="0"/>
        <c:axPos val="b"/>
        <c:majorTickMark val="none"/>
        <c:minorTickMark val="none"/>
        <c:tickLblPos val="high"/>
        <c:spPr>
          <a:noFill/>
          <a:ln>
            <a:noFill/>
          </a:ln>
          <a:effectLst/>
        </c:spPr>
        <c:txPr>
          <a:bodyPr rot="-5400000" spcFirstLastPara="1" vertOverflow="ellipsis" wrap="square" anchor="ctr" anchorCtr="0"/>
          <a:lstStyle/>
          <a:p>
            <a:pPr>
              <a:defRPr sz="900" b="0" i="0" u="none" strike="noStrike" kern="1200" baseline="0">
                <a:solidFill>
                  <a:schemeClr val="dk1">
                    <a:lumMod val="75000"/>
                    <a:lumOff val="25000"/>
                  </a:schemeClr>
                </a:solidFill>
                <a:latin typeface="+mn-lt"/>
                <a:ea typeface="+mn-ea"/>
                <a:cs typeface="+mn-cs"/>
              </a:defRPr>
            </a:pPr>
            <a:endParaRPr lang="en-US"/>
          </a:p>
        </c:txPr>
        <c:crossAx val="7893589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baseline="0"/>
              <a:t>N2 </a:t>
            </a:r>
            <a:r>
              <a:rPr lang="en-US"/>
              <a:t>(lbs)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0.26663230780446479"/>
          <c:y val="0.19842841167163816"/>
          <c:w val="0.43541982852016875"/>
          <c:h val="0.51294218143991843"/>
        </c:manualLayout>
      </c:layout>
      <c:pie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EB73-4CE6-8325-437FE46185D2}"/>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EB73-4CE6-8325-437FE46185D2}"/>
              </c:ext>
            </c:extLst>
          </c:dPt>
          <c:dLbls>
            <c:dLbl>
              <c:idx val="1"/>
              <c:layout>
                <c:manualLayout>
                  <c:x val="-0.26639073540018421"/>
                  <c:y val="-6.13809369310294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737274553028719"/>
                      <c:h val="0.12615318380918575"/>
                    </c:manualLayout>
                  </c15:layout>
                </c:ext>
                <c:ext xmlns:c16="http://schemas.microsoft.com/office/drawing/2014/chart" uri="{C3380CC4-5D6E-409C-BE32-E72D297353CC}">
                  <c16:uniqueId val="{00000003-EB73-4CE6-8325-437FE46185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'Emissions Chart (Scenario)'!$W$1:$X$1</c:f>
              <c:strCache>
                <c:ptCount val="2"/>
                <c:pt idx="0">
                  <c:v> Gasoline N2 </c:v>
                </c:pt>
                <c:pt idx="1">
                  <c:v> Natural Gas N2 </c:v>
                </c:pt>
              </c:strCache>
            </c:strRef>
          </c:cat>
          <c:val>
            <c:numRef>
              <c:f>'Emissions Chart (Scenario)'!$W$2:$X$2</c:f>
              <c:numCache>
                <c:formatCode>_(* #,##0_);_(* \(#,##0\);_(* "-"??_);_(@_)</c:formatCode>
                <c:ptCount val="2"/>
                <c:pt idx="0" formatCode="0">
                  <c:v>0</c:v>
                </c:pt>
                <c:pt idx="1">
                  <c:v>21620</c:v>
                </c:pt>
              </c:numCache>
            </c:numRef>
          </c:val>
          <c:extLst>
            <c:ext xmlns:c16="http://schemas.microsoft.com/office/drawing/2014/chart" uri="{C3380CC4-5D6E-409C-BE32-E72D297353CC}">
              <c16:uniqueId val="{00000004-EB73-4CE6-8325-437FE46185D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2.3023036681464104E-2"/>
          <c:y val="0.80047992688577962"/>
          <c:w val="0.94727032224688268"/>
          <c:h val="0.17206458116619941"/>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png"/><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315595</xdr:colOff>
      <xdr:row>4</xdr:row>
      <xdr:rowOff>35344</xdr:rowOff>
    </xdr:from>
    <xdr:to>
      <xdr:col>9</xdr:col>
      <xdr:colOff>88476</xdr:colOff>
      <xdr:row>28</xdr:row>
      <xdr:rowOff>71966</xdr:rowOff>
    </xdr:to>
    <xdr:graphicFrame macro="">
      <xdr:nvGraphicFramePr>
        <xdr:cNvPr id="5" name="Chart 1">
          <a:extLst>
            <a:ext uri="{FF2B5EF4-FFF2-40B4-BE49-F238E27FC236}">
              <a16:creationId xmlns:a16="http://schemas.microsoft.com/office/drawing/2014/main" id="{C739821D-419B-A915-5400-92EEAAA38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80857</xdr:colOff>
      <xdr:row>4</xdr:row>
      <xdr:rowOff>37463</xdr:rowOff>
    </xdr:from>
    <xdr:to>
      <xdr:col>13</xdr:col>
      <xdr:colOff>21167</xdr:colOff>
      <xdr:row>28</xdr:row>
      <xdr:rowOff>77470</xdr:rowOff>
    </xdr:to>
    <xdr:graphicFrame macro="">
      <xdr:nvGraphicFramePr>
        <xdr:cNvPr id="6" name="Chart 2">
          <a:extLst>
            <a:ext uri="{FF2B5EF4-FFF2-40B4-BE49-F238E27FC236}">
              <a16:creationId xmlns:a16="http://schemas.microsoft.com/office/drawing/2014/main" id="{BF35E101-FA49-26BA-E011-5BB35780B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333374</xdr:colOff>
      <xdr:row>7</xdr:row>
      <xdr:rowOff>36196</xdr:rowOff>
    </xdr:from>
    <xdr:to>
      <xdr:col>10</xdr:col>
      <xdr:colOff>1000124</xdr:colOff>
      <xdr:row>45</xdr:row>
      <xdr:rowOff>171450</xdr:rowOff>
    </xdr:to>
    <xdr:graphicFrame macro="">
      <xdr:nvGraphicFramePr>
        <xdr:cNvPr id="6" name="Chart 5">
          <a:extLst>
            <a:ext uri="{FF2B5EF4-FFF2-40B4-BE49-F238E27FC236}">
              <a16:creationId xmlns:a16="http://schemas.microsoft.com/office/drawing/2014/main" id="{292A0D1A-35D4-F445-AB42-79862946F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1012982</xdr:colOff>
      <xdr:row>17</xdr:row>
      <xdr:rowOff>62868</xdr:rowOff>
    </xdr:from>
    <xdr:to>
      <xdr:col>15</xdr:col>
      <xdr:colOff>16667</xdr:colOff>
      <xdr:row>29</xdr:row>
      <xdr:rowOff>64773</xdr:rowOff>
    </xdr:to>
    <xdr:graphicFrame macro="">
      <xdr:nvGraphicFramePr>
        <xdr:cNvPr id="7" name="Chart 6">
          <a:extLst>
            <a:ext uri="{FF2B5EF4-FFF2-40B4-BE49-F238E27FC236}">
              <a16:creationId xmlns:a16="http://schemas.microsoft.com/office/drawing/2014/main" id="{A00E5B0F-703D-82CC-BAC5-051848C56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1018697</xdr:colOff>
      <xdr:row>7</xdr:row>
      <xdr:rowOff>18098</xdr:rowOff>
    </xdr:from>
    <xdr:to>
      <xdr:col>15</xdr:col>
      <xdr:colOff>80485</xdr:colOff>
      <xdr:row>17</xdr:row>
      <xdr:rowOff>57150</xdr:rowOff>
    </xdr:to>
    <xdr:graphicFrame macro="">
      <xdr:nvGraphicFramePr>
        <xdr:cNvPr id="8" name="Chart 7">
          <a:extLst>
            <a:ext uri="{FF2B5EF4-FFF2-40B4-BE49-F238E27FC236}">
              <a16:creationId xmlns:a16="http://schemas.microsoft.com/office/drawing/2014/main" id="{7C45FBAF-4311-ED64-739F-802899884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54291</xdr:colOff>
      <xdr:row>7</xdr:row>
      <xdr:rowOff>25240</xdr:rowOff>
    </xdr:from>
    <xdr:to>
      <xdr:col>22</xdr:col>
      <xdr:colOff>209549</xdr:colOff>
      <xdr:row>50</xdr:row>
      <xdr:rowOff>78581</xdr:rowOff>
    </xdr:to>
    <xdr:graphicFrame macro="">
      <xdr:nvGraphicFramePr>
        <xdr:cNvPr id="2" name="Chart 1">
          <a:extLst>
            <a:ext uri="{FF2B5EF4-FFF2-40B4-BE49-F238E27FC236}">
              <a16:creationId xmlns:a16="http://schemas.microsoft.com/office/drawing/2014/main" id="{58448835-CD15-433F-84FC-4E941C257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1004410</xdr:colOff>
      <xdr:row>29</xdr:row>
      <xdr:rowOff>97630</xdr:rowOff>
    </xdr:from>
    <xdr:to>
      <xdr:col>15</xdr:col>
      <xdr:colOff>15715</xdr:colOff>
      <xdr:row>41</xdr:row>
      <xdr:rowOff>135730</xdr:rowOff>
    </xdr:to>
    <xdr:graphicFrame macro="">
      <xdr:nvGraphicFramePr>
        <xdr:cNvPr id="4" name="Chart 3">
          <a:extLst>
            <a:ext uri="{FF2B5EF4-FFF2-40B4-BE49-F238E27FC236}">
              <a16:creationId xmlns:a16="http://schemas.microsoft.com/office/drawing/2014/main" id="{F3261AA6-DA29-4941-9A1F-0D56510A2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0.02314</cdr:x>
      <cdr:y>0.07295</cdr:y>
    </cdr:from>
    <cdr:to>
      <cdr:x>0.96881</cdr:x>
      <cdr:y>0.11922</cdr:y>
    </cdr:to>
    <cdr:sp macro="" textlink="'Emissions Chart'!$E$5">
      <cdr:nvSpPr>
        <cdr:cNvPr id="2" name="TextBox 1">
          <a:extLst xmlns:a="http://schemas.openxmlformats.org/drawingml/2006/main">
            <a:ext uri="{FF2B5EF4-FFF2-40B4-BE49-F238E27FC236}">
              <a16:creationId xmlns:a16="http://schemas.microsoft.com/office/drawing/2014/main" id="{3A3B25E7-95F0-5024-C065-18716CCC990D}"/>
            </a:ext>
          </a:extLst>
        </cdr:cNvPr>
        <cdr:cNvSpPr txBox="1"/>
      </cdr:nvSpPr>
      <cdr:spPr>
        <a:xfrm xmlns:a="http://schemas.openxmlformats.org/drawingml/2006/main">
          <a:off x="219075" y="390524"/>
          <a:ext cx="895350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E3BA131-8D6A-4570-97E5-BD21DD1EACD4}" type="TxLink">
            <a:rPr lang="en-US" sz="1100" b="0" i="0" u="none" strike="noStrike" kern="1200">
              <a:solidFill>
                <a:srgbClr val="000000"/>
              </a:solidFill>
              <a:latin typeface="Aptos Narrow"/>
            </a:rPr>
            <a:pPr/>
            <a:t> </a:t>
          </a:fld>
          <a:endParaRPr lang="en-US" sz="1100" kern="1200"/>
        </a:p>
      </cdr:txBody>
    </cdr:sp>
  </cdr:relSizeAnchor>
  <cdr:relSizeAnchor xmlns:cdr="http://schemas.openxmlformats.org/drawingml/2006/chartDrawing">
    <cdr:from>
      <cdr:x>0.02918</cdr:x>
      <cdr:y>0.08185</cdr:y>
    </cdr:from>
    <cdr:to>
      <cdr:x>0.97686</cdr:x>
      <cdr:y>0.17794</cdr:y>
    </cdr:to>
    <cdr:sp macro="" textlink="">
      <cdr:nvSpPr>
        <cdr:cNvPr id="3" name="TextBox 2">
          <a:extLst xmlns:a="http://schemas.openxmlformats.org/drawingml/2006/main">
            <a:ext uri="{FF2B5EF4-FFF2-40B4-BE49-F238E27FC236}">
              <a16:creationId xmlns:a16="http://schemas.microsoft.com/office/drawing/2014/main" id="{C3CFB73C-FE67-83DA-606F-D19B41A5385B}"/>
            </a:ext>
          </a:extLst>
        </cdr:cNvPr>
        <cdr:cNvSpPr txBox="1"/>
      </cdr:nvSpPr>
      <cdr:spPr>
        <a:xfrm xmlns:a="http://schemas.openxmlformats.org/drawingml/2006/main">
          <a:off x="276225" y="438149"/>
          <a:ext cx="8972550" cy="514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0.02616</cdr:x>
      <cdr:y>0.07201</cdr:y>
    </cdr:from>
    <cdr:to>
      <cdr:x>0.97485</cdr:x>
      <cdr:y>0.18055</cdr:y>
    </cdr:to>
    <cdr:sp macro="" textlink="'Emissions Chart'!$H$5">
      <cdr:nvSpPr>
        <cdr:cNvPr id="4" name="TextBox 3">
          <a:extLst xmlns:a="http://schemas.openxmlformats.org/drawingml/2006/main">
            <a:ext uri="{FF2B5EF4-FFF2-40B4-BE49-F238E27FC236}">
              <a16:creationId xmlns:a16="http://schemas.microsoft.com/office/drawing/2014/main" id="{9AC83862-5209-3AFE-A6A2-F9B4DEB0C3AA}"/>
            </a:ext>
          </a:extLst>
        </cdr:cNvPr>
        <cdr:cNvSpPr txBox="1"/>
      </cdr:nvSpPr>
      <cdr:spPr>
        <a:xfrm xmlns:a="http://schemas.openxmlformats.org/drawingml/2006/main">
          <a:off x="183919" y="297945"/>
          <a:ext cx="6670592" cy="4491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67B85160-6809-4CBA-A37A-23AA432A91E9}" type="TxLink">
            <a:rPr lang="en-US" sz="1100" b="0" i="0" u="none" strike="noStrike" kern="1200">
              <a:solidFill>
                <a:srgbClr val="000000"/>
              </a:solidFill>
              <a:latin typeface="Aptos Narrow"/>
            </a:rPr>
            <a:pPr algn="ctr"/>
            <a:t>#REF!</a:t>
          </a:fld>
          <a:endParaRPr lang="en-US" sz="1100" kern="1200"/>
        </a:p>
      </cdr:txBody>
    </cdr:sp>
  </cdr:relSizeAnchor>
  <cdr:relSizeAnchor xmlns:cdr="http://schemas.openxmlformats.org/drawingml/2006/chartDrawing">
    <cdr:from>
      <cdr:x>0.04364</cdr:x>
      <cdr:y>0.10672</cdr:y>
    </cdr:from>
    <cdr:to>
      <cdr:x>1</cdr:x>
      <cdr:y>0.16722</cdr:y>
    </cdr:to>
    <cdr:sp macro="" textlink="'Emissions Chart'!$H$6">
      <cdr:nvSpPr>
        <cdr:cNvPr id="5" name="TextBox 4">
          <a:extLst xmlns:a="http://schemas.openxmlformats.org/drawingml/2006/main">
            <a:ext uri="{FF2B5EF4-FFF2-40B4-BE49-F238E27FC236}">
              <a16:creationId xmlns:a16="http://schemas.microsoft.com/office/drawing/2014/main" id="{E50E6F2D-305C-4958-9E1D-D525CF97CC13}"/>
            </a:ext>
          </a:extLst>
        </cdr:cNvPr>
        <cdr:cNvSpPr txBox="1"/>
      </cdr:nvSpPr>
      <cdr:spPr>
        <a:xfrm xmlns:a="http://schemas.openxmlformats.org/drawingml/2006/main">
          <a:off x="306878" y="441558"/>
          <a:ext cx="6724477" cy="25032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6BB44EC8-1F54-4E9E-ABEF-75B84F1E3DCD}" type="TxLink">
            <a:rPr lang="en-US" sz="1100" b="0" i="0" u="none" strike="noStrike" kern="1200">
              <a:solidFill>
                <a:srgbClr val="000000"/>
              </a:solidFill>
              <a:latin typeface="Aptos Narrow"/>
            </a:rPr>
            <a:pPr algn="ctr"/>
            <a:t>Chemical composition of fossil fuels and chemical emissions which are harmful to health and environment</a:t>
          </a:fld>
          <a:endParaRPr lang="en-US"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0.02314</cdr:x>
      <cdr:y>0.07295</cdr:y>
    </cdr:from>
    <cdr:to>
      <cdr:x>0.96881</cdr:x>
      <cdr:y>0.11922</cdr:y>
    </cdr:to>
    <cdr:sp macro="" textlink="'Emissions Chart'!$E$5">
      <cdr:nvSpPr>
        <cdr:cNvPr id="2" name="TextBox 1">
          <a:extLst xmlns:a="http://schemas.openxmlformats.org/drawingml/2006/main">
            <a:ext uri="{FF2B5EF4-FFF2-40B4-BE49-F238E27FC236}">
              <a16:creationId xmlns:a16="http://schemas.microsoft.com/office/drawing/2014/main" id="{3A3B25E7-95F0-5024-C065-18716CCC990D}"/>
            </a:ext>
          </a:extLst>
        </cdr:cNvPr>
        <cdr:cNvSpPr txBox="1"/>
      </cdr:nvSpPr>
      <cdr:spPr>
        <a:xfrm xmlns:a="http://schemas.openxmlformats.org/drawingml/2006/main">
          <a:off x="219075" y="390524"/>
          <a:ext cx="895350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E3BA131-8D6A-4570-97E5-BD21DD1EACD4}" type="TxLink">
            <a:rPr lang="en-US" sz="1100" b="0" i="0" u="none" strike="noStrike" kern="1200">
              <a:solidFill>
                <a:srgbClr val="000000"/>
              </a:solidFill>
              <a:latin typeface="Aptos Narrow"/>
            </a:rPr>
            <a:pPr/>
            <a:t> </a:t>
          </a:fld>
          <a:endParaRPr lang="en-US" sz="1100" kern="1200"/>
        </a:p>
      </cdr:txBody>
    </cdr:sp>
  </cdr:relSizeAnchor>
  <cdr:relSizeAnchor xmlns:cdr="http://schemas.openxmlformats.org/drawingml/2006/chartDrawing">
    <cdr:from>
      <cdr:x>0.02918</cdr:x>
      <cdr:y>0.08185</cdr:y>
    </cdr:from>
    <cdr:to>
      <cdr:x>0.97686</cdr:x>
      <cdr:y>0.17794</cdr:y>
    </cdr:to>
    <cdr:sp macro="" textlink="">
      <cdr:nvSpPr>
        <cdr:cNvPr id="3" name="TextBox 2">
          <a:extLst xmlns:a="http://schemas.openxmlformats.org/drawingml/2006/main">
            <a:ext uri="{FF2B5EF4-FFF2-40B4-BE49-F238E27FC236}">
              <a16:creationId xmlns:a16="http://schemas.microsoft.com/office/drawing/2014/main" id="{C3CFB73C-FE67-83DA-606F-D19B41A5385B}"/>
            </a:ext>
          </a:extLst>
        </cdr:cNvPr>
        <cdr:cNvSpPr txBox="1"/>
      </cdr:nvSpPr>
      <cdr:spPr>
        <a:xfrm xmlns:a="http://schemas.openxmlformats.org/drawingml/2006/main">
          <a:off x="276225" y="438149"/>
          <a:ext cx="8972550" cy="514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0.02903</cdr:x>
      <cdr:y>0.07653</cdr:y>
    </cdr:from>
    <cdr:to>
      <cdr:x>0.97772</cdr:x>
      <cdr:y>0.18507</cdr:y>
    </cdr:to>
    <cdr:sp macro="" textlink="'Emissions Chart'!$H$5">
      <cdr:nvSpPr>
        <cdr:cNvPr id="4" name="TextBox 3">
          <a:extLst xmlns:a="http://schemas.openxmlformats.org/drawingml/2006/main">
            <a:ext uri="{FF2B5EF4-FFF2-40B4-BE49-F238E27FC236}">
              <a16:creationId xmlns:a16="http://schemas.microsoft.com/office/drawing/2014/main" id="{9AC83862-5209-3AFE-A6A2-F9B4DEB0C3AA}"/>
            </a:ext>
          </a:extLst>
        </cdr:cNvPr>
        <cdr:cNvSpPr txBox="1"/>
      </cdr:nvSpPr>
      <cdr:spPr>
        <a:xfrm xmlns:a="http://schemas.openxmlformats.org/drawingml/2006/main">
          <a:off x="192724" y="318386"/>
          <a:ext cx="6298281" cy="451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67B85160-6809-4CBA-A37A-23AA432A91E9}" type="TxLink">
            <a:rPr lang="en-US" sz="1100" b="0" i="0" u="none" strike="noStrike" kern="1200">
              <a:solidFill>
                <a:srgbClr val="000000"/>
              </a:solidFill>
              <a:latin typeface="Aptos Narrow"/>
            </a:rPr>
            <a:pPr algn="ctr"/>
            <a:t>#REF!</a:t>
          </a:fld>
          <a:endParaRPr lang="en-US"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1</xdr:col>
      <xdr:colOff>55245</xdr:colOff>
      <xdr:row>7</xdr:row>
      <xdr:rowOff>34289</xdr:rowOff>
    </xdr:from>
    <xdr:to>
      <xdr:col>10</xdr:col>
      <xdr:colOff>897255</xdr:colOff>
      <xdr:row>48</xdr:row>
      <xdr:rowOff>71436</xdr:rowOff>
    </xdr:to>
    <xdr:graphicFrame macro="">
      <xdr:nvGraphicFramePr>
        <xdr:cNvPr id="2" name="Chart 1">
          <a:extLst>
            <a:ext uri="{FF2B5EF4-FFF2-40B4-BE49-F238E27FC236}">
              <a16:creationId xmlns:a16="http://schemas.microsoft.com/office/drawing/2014/main" id="{5009900D-3A57-4FA4-8496-BA732C526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955357</xdr:colOff>
      <xdr:row>18</xdr:row>
      <xdr:rowOff>11430</xdr:rowOff>
    </xdr:from>
    <xdr:to>
      <xdr:col>14</xdr:col>
      <xdr:colOff>605790</xdr:colOff>
      <xdr:row>30</xdr:row>
      <xdr:rowOff>24765</xdr:rowOff>
    </xdr:to>
    <xdr:graphicFrame macro="">
      <xdr:nvGraphicFramePr>
        <xdr:cNvPr id="3" name="Chart 2">
          <a:extLst>
            <a:ext uri="{FF2B5EF4-FFF2-40B4-BE49-F238E27FC236}">
              <a16:creationId xmlns:a16="http://schemas.microsoft.com/office/drawing/2014/main" id="{B95F4ED9-7845-4F81-A267-854DB7336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962977</xdr:colOff>
      <xdr:row>7</xdr:row>
      <xdr:rowOff>21908</xdr:rowOff>
    </xdr:from>
    <xdr:to>
      <xdr:col>15</xdr:col>
      <xdr:colOff>11430</xdr:colOff>
      <xdr:row>17</xdr:row>
      <xdr:rowOff>53340</xdr:rowOff>
    </xdr:to>
    <xdr:graphicFrame macro="">
      <xdr:nvGraphicFramePr>
        <xdr:cNvPr id="4" name="Chart 3">
          <a:extLst>
            <a:ext uri="{FF2B5EF4-FFF2-40B4-BE49-F238E27FC236}">
              <a16:creationId xmlns:a16="http://schemas.microsoft.com/office/drawing/2014/main" id="{6E5FDC42-3E8A-4BE5-A243-C9834F0E5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95250</xdr:colOff>
      <xdr:row>7</xdr:row>
      <xdr:rowOff>55244</xdr:rowOff>
    </xdr:from>
    <xdr:to>
      <xdr:col>20</xdr:col>
      <xdr:colOff>781050</xdr:colOff>
      <xdr:row>48</xdr:row>
      <xdr:rowOff>95249</xdr:rowOff>
    </xdr:to>
    <xdr:graphicFrame macro="">
      <xdr:nvGraphicFramePr>
        <xdr:cNvPr id="5" name="Chart 4">
          <a:extLst>
            <a:ext uri="{FF2B5EF4-FFF2-40B4-BE49-F238E27FC236}">
              <a16:creationId xmlns:a16="http://schemas.microsoft.com/office/drawing/2014/main" id="{14B8DE9B-5FDD-4319-855E-63C8E8C58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928687</xdr:colOff>
      <xdr:row>30</xdr:row>
      <xdr:rowOff>95249</xdr:rowOff>
    </xdr:from>
    <xdr:to>
      <xdr:col>14</xdr:col>
      <xdr:colOff>582930</xdr:colOff>
      <xdr:row>48</xdr:row>
      <xdr:rowOff>102869</xdr:rowOff>
    </xdr:to>
    <xdr:graphicFrame macro="">
      <xdr:nvGraphicFramePr>
        <xdr:cNvPr id="6" name="Chart 5">
          <a:extLst>
            <a:ext uri="{FF2B5EF4-FFF2-40B4-BE49-F238E27FC236}">
              <a16:creationId xmlns:a16="http://schemas.microsoft.com/office/drawing/2014/main" id="{A3D4F681-5181-4D27-ABDC-D336F096B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91440</xdr:colOff>
      <xdr:row>2</xdr:row>
      <xdr:rowOff>121444</xdr:rowOff>
    </xdr:from>
    <xdr:to>
      <xdr:col>29</xdr:col>
      <xdr:colOff>345318</xdr:colOff>
      <xdr:row>9</xdr:row>
      <xdr:rowOff>93195</xdr:rowOff>
    </xdr:to>
    <xdr:pic>
      <xdr:nvPicPr>
        <xdr:cNvPr id="7" name="Picture 6">
          <a:extLst>
            <a:ext uri="{FF2B5EF4-FFF2-40B4-BE49-F238E27FC236}">
              <a16:creationId xmlns:a16="http://schemas.microsoft.com/office/drawing/2014/main" id="{C63B7A7A-7F9B-7005-012E-E597B8D22B1A}"/>
            </a:ext>
          </a:extLst>
        </xdr:cNvPr>
        <xdr:cNvPicPr>
          <a:picLocks noChangeAspect="1"/>
        </xdr:cNvPicPr>
      </xdr:nvPicPr>
      <xdr:blipFill>
        <a:blip xmlns:r="http://schemas.openxmlformats.org/officeDocument/2006/relationships" r:embed="rId6"/>
        <a:stretch>
          <a:fillRect/>
        </a:stretch>
      </xdr:blipFill>
      <xdr:spPr>
        <a:xfrm>
          <a:off x="16129159" y="526257"/>
          <a:ext cx="5873628" cy="1420027"/>
        </a:xfrm>
        <a:prstGeom prst="rect">
          <a:avLst/>
        </a:prstGeom>
      </xdr:spPr>
    </xdr:pic>
    <xdr:clientData/>
  </xdr:twoCellAnchor>
</xdr:wsDr>
</file>

<file path=xl/drawings/drawing6.xml><?xml version="1.0" encoding="utf-8"?>
<c:userShapes xmlns:c="http://schemas.openxmlformats.org/drawingml/2006/chart">
  <cdr:relSizeAnchor xmlns:cdr="http://schemas.openxmlformats.org/drawingml/2006/chartDrawing">
    <cdr:from>
      <cdr:x>0.02314</cdr:x>
      <cdr:y>0.07295</cdr:y>
    </cdr:from>
    <cdr:to>
      <cdr:x>0.96881</cdr:x>
      <cdr:y>0.11922</cdr:y>
    </cdr:to>
    <cdr:sp macro="" textlink="'Emissions Chart (Scenario)'!$E$5">
      <cdr:nvSpPr>
        <cdr:cNvPr id="2" name="TextBox 1">
          <a:extLst xmlns:a="http://schemas.openxmlformats.org/drawingml/2006/main">
            <a:ext uri="{FF2B5EF4-FFF2-40B4-BE49-F238E27FC236}">
              <a16:creationId xmlns:a16="http://schemas.microsoft.com/office/drawing/2014/main" id="{3A3B25E7-95F0-5024-C065-18716CCC990D}"/>
            </a:ext>
          </a:extLst>
        </cdr:cNvPr>
        <cdr:cNvSpPr txBox="1"/>
      </cdr:nvSpPr>
      <cdr:spPr>
        <a:xfrm xmlns:a="http://schemas.openxmlformats.org/drawingml/2006/main">
          <a:off x="219075" y="390524"/>
          <a:ext cx="895350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E3BA131-8D6A-4570-97E5-BD21DD1EACD4}" type="TxLink">
            <a:rPr lang="en-US" sz="1100" b="0" i="0" u="none" strike="noStrike" kern="1200">
              <a:solidFill>
                <a:srgbClr val="000000"/>
              </a:solidFill>
              <a:latin typeface="Aptos Narrow"/>
            </a:rPr>
            <a:pPr/>
            <a:t> </a:t>
          </a:fld>
          <a:endParaRPr lang="en-US" sz="1100" kern="1200"/>
        </a:p>
      </cdr:txBody>
    </cdr:sp>
  </cdr:relSizeAnchor>
  <cdr:relSizeAnchor xmlns:cdr="http://schemas.openxmlformats.org/drawingml/2006/chartDrawing">
    <cdr:from>
      <cdr:x>0.02918</cdr:x>
      <cdr:y>0.08185</cdr:y>
    </cdr:from>
    <cdr:to>
      <cdr:x>0.97686</cdr:x>
      <cdr:y>0.17794</cdr:y>
    </cdr:to>
    <cdr:sp macro="" textlink="">
      <cdr:nvSpPr>
        <cdr:cNvPr id="3" name="TextBox 2">
          <a:extLst xmlns:a="http://schemas.openxmlformats.org/drawingml/2006/main">
            <a:ext uri="{FF2B5EF4-FFF2-40B4-BE49-F238E27FC236}">
              <a16:creationId xmlns:a16="http://schemas.microsoft.com/office/drawing/2014/main" id="{C3CFB73C-FE67-83DA-606F-D19B41A5385B}"/>
            </a:ext>
          </a:extLst>
        </cdr:cNvPr>
        <cdr:cNvSpPr txBox="1"/>
      </cdr:nvSpPr>
      <cdr:spPr>
        <a:xfrm xmlns:a="http://schemas.openxmlformats.org/drawingml/2006/main">
          <a:off x="276225" y="438149"/>
          <a:ext cx="8972550" cy="514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0.02616</cdr:x>
      <cdr:y>0.07201</cdr:y>
    </cdr:from>
    <cdr:to>
      <cdr:x>0.97485</cdr:x>
      <cdr:y>0.18055</cdr:y>
    </cdr:to>
    <cdr:sp macro="" textlink="'Emissions Chart (Scenario)'!$H$5">
      <cdr:nvSpPr>
        <cdr:cNvPr id="4" name="TextBox 3">
          <a:extLst xmlns:a="http://schemas.openxmlformats.org/drawingml/2006/main">
            <a:ext uri="{FF2B5EF4-FFF2-40B4-BE49-F238E27FC236}">
              <a16:creationId xmlns:a16="http://schemas.microsoft.com/office/drawing/2014/main" id="{9AC83862-5209-3AFE-A6A2-F9B4DEB0C3AA}"/>
            </a:ext>
          </a:extLst>
        </cdr:cNvPr>
        <cdr:cNvSpPr txBox="1"/>
      </cdr:nvSpPr>
      <cdr:spPr>
        <a:xfrm xmlns:a="http://schemas.openxmlformats.org/drawingml/2006/main">
          <a:off x="183919" y="297945"/>
          <a:ext cx="6670592" cy="4491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67B85160-6809-4CBA-A37A-23AA432A91E9}" type="TxLink">
            <a:rPr lang="en-US" sz="1100" b="0" i="0" u="none" strike="noStrike" kern="1200">
              <a:solidFill>
                <a:srgbClr val="000000"/>
              </a:solidFill>
              <a:latin typeface="Aptos Narrow"/>
            </a:rPr>
            <a:pPr algn="ctr"/>
            <a:t>Emissions from 404 KWh at Electric Power Plant vs. 40 Gallons of Gas to go 1000 Miles</a:t>
          </a:fld>
          <a:endParaRPr lang="en-US" sz="1100" kern="1200"/>
        </a:p>
      </cdr:txBody>
    </cdr:sp>
  </cdr:relSizeAnchor>
  <cdr:relSizeAnchor xmlns:cdr="http://schemas.openxmlformats.org/drawingml/2006/chartDrawing">
    <cdr:from>
      <cdr:x>0.04364</cdr:x>
      <cdr:y>0.10672</cdr:y>
    </cdr:from>
    <cdr:to>
      <cdr:x>1</cdr:x>
      <cdr:y>0.16722</cdr:y>
    </cdr:to>
    <cdr:sp macro="" textlink="'Emissions Chart (Scenario)'!$H$6">
      <cdr:nvSpPr>
        <cdr:cNvPr id="5" name="TextBox 4">
          <a:extLst xmlns:a="http://schemas.openxmlformats.org/drawingml/2006/main">
            <a:ext uri="{FF2B5EF4-FFF2-40B4-BE49-F238E27FC236}">
              <a16:creationId xmlns:a16="http://schemas.microsoft.com/office/drawing/2014/main" id="{E50E6F2D-305C-4958-9E1D-D525CF97CC13}"/>
            </a:ext>
          </a:extLst>
        </cdr:cNvPr>
        <cdr:cNvSpPr txBox="1"/>
      </cdr:nvSpPr>
      <cdr:spPr>
        <a:xfrm xmlns:a="http://schemas.openxmlformats.org/drawingml/2006/main">
          <a:off x="306878" y="441558"/>
          <a:ext cx="6724477" cy="25032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6BB44EC8-1F54-4E9E-ABEF-75B84F1E3DCD}" type="TxLink">
            <a:rPr lang="en-US" sz="1100" b="0" i="0" u="none" strike="noStrike" kern="1200">
              <a:solidFill>
                <a:srgbClr val="000000"/>
              </a:solidFill>
              <a:latin typeface="Aptos Narrow"/>
            </a:rPr>
            <a:pPr algn="ctr"/>
            <a:t>Chemical composition of fossil fuels and chemical emissions which are harmful to health and environment</a:t>
          </a:fld>
          <a:endParaRPr lang="en-US" sz="1100" kern="1200"/>
        </a:p>
      </cdr:txBody>
    </cdr:sp>
  </cdr:relSizeAnchor>
</c:userShapes>
</file>

<file path=xl/drawings/drawing7.xml><?xml version="1.0" encoding="utf-8"?>
<c:userShapes xmlns:c="http://schemas.openxmlformats.org/drawingml/2006/chart">
  <cdr:relSizeAnchor xmlns:cdr="http://schemas.openxmlformats.org/drawingml/2006/chartDrawing">
    <cdr:from>
      <cdr:x>0.02314</cdr:x>
      <cdr:y>0.07295</cdr:y>
    </cdr:from>
    <cdr:to>
      <cdr:x>0.96881</cdr:x>
      <cdr:y>0.11922</cdr:y>
    </cdr:to>
    <cdr:sp macro="" textlink="'Emissions Chart (Scenario)'!$E$5">
      <cdr:nvSpPr>
        <cdr:cNvPr id="2" name="TextBox 1">
          <a:extLst xmlns:a="http://schemas.openxmlformats.org/drawingml/2006/main">
            <a:ext uri="{FF2B5EF4-FFF2-40B4-BE49-F238E27FC236}">
              <a16:creationId xmlns:a16="http://schemas.microsoft.com/office/drawing/2014/main" id="{3A3B25E7-95F0-5024-C065-18716CCC990D}"/>
            </a:ext>
          </a:extLst>
        </cdr:cNvPr>
        <cdr:cNvSpPr txBox="1"/>
      </cdr:nvSpPr>
      <cdr:spPr>
        <a:xfrm xmlns:a="http://schemas.openxmlformats.org/drawingml/2006/main">
          <a:off x="219075" y="390524"/>
          <a:ext cx="895350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E3BA131-8D6A-4570-97E5-BD21DD1EACD4}" type="TxLink">
            <a:rPr lang="en-US" sz="1100" b="0" i="0" u="none" strike="noStrike" kern="1200">
              <a:solidFill>
                <a:srgbClr val="000000"/>
              </a:solidFill>
              <a:latin typeface="Aptos Narrow"/>
            </a:rPr>
            <a:pPr/>
            <a:t> </a:t>
          </a:fld>
          <a:endParaRPr lang="en-US" sz="1100" kern="1200"/>
        </a:p>
      </cdr:txBody>
    </cdr:sp>
  </cdr:relSizeAnchor>
  <cdr:relSizeAnchor xmlns:cdr="http://schemas.openxmlformats.org/drawingml/2006/chartDrawing">
    <cdr:from>
      <cdr:x>0.02918</cdr:x>
      <cdr:y>0.08185</cdr:y>
    </cdr:from>
    <cdr:to>
      <cdr:x>0.97686</cdr:x>
      <cdr:y>0.17794</cdr:y>
    </cdr:to>
    <cdr:sp macro="" textlink="">
      <cdr:nvSpPr>
        <cdr:cNvPr id="3" name="TextBox 2">
          <a:extLst xmlns:a="http://schemas.openxmlformats.org/drawingml/2006/main">
            <a:ext uri="{FF2B5EF4-FFF2-40B4-BE49-F238E27FC236}">
              <a16:creationId xmlns:a16="http://schemas.microsoft.com/office/drawing/2014/main" id="{C3CFB73C-FE67-83DA-606F-D19B41A5385B}"/>
            </a:ext>
          </a:extLst>
        </cdr:cNvPr>
        <cdr:cNvSpPr txBox="1"/>
      </cdr:nvSpPr>
      <cdr:spPr>
        <a:xfrm xmlns:a="http://schemas.openxmlformats.org/drawingml/2006/main">
          <a:off x="276225" y="438149"/>
          <a:ext cx="8972550" cy="514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0.02903</cdr:x>
      <cdr:y>0.07653</cdr:y>
    </cdr:from>
    <cdr:to>
      <cdr:x>0.97772</cdr:x>
      <cdr:y>0.18507</cdr:y>
    </cdr:to>
    <cdr:sp macro="" textlink="'Emissions Chart (Scenario)'!$H$5">
      <cdr:nvSpPr>
        <cdr:cNvPr id="4" name="TextBox 3">
          <a:extLst xmlns:a="http://schemas.openxmlformats.org/drawingml/2006/main">
            <a:ext uri="{FF2B5EF4-FFF2-40B4-BE49-F238E27FC236}">
              <a16:creationId xmlns:a16="http://schemas.microsoft.com/office/drawing/2014/main" id="{9AC83862-5209-3AFE-A6A2-F9B4DEB0C3AA}"/>
            </a:ext>
          </a:extLst>
        </cdr:cNvPr>
        <cdr:cNvSpPr txBox="1"/>
      </cdr:nvSpPr>
      <cdr:spPr>
        <a:xfrm xmlns:a="http://schemas.openxmlformats.org/drawingml/2006/main">
          <a:off x="192724" y="318386"/>
          <a:ext cx="6298281" cy="451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67B85160-6809-4CBA-A37A-23AA432A91E9}" type="TxLink">
            <a:rPr lang="en-US" sz="1100" b="0" i="0" u="none" strike="noStrike" kern="1200">
              <a:solidFill>
                <a:srgbClr val="000000"/>
              </a:solidFill>
              <a:latin typeface="Aptos Narrow"/>
            </a:rPr>
            <a:pPr algn="ctr"/>
            <a:t>Emissions from 404 KWh at Electric Power Plant vs. 40 Gallons of Gas to go 1000 Miles</a:t>
          </a:fld>
          <a:endParaRPr lang="en-US" sz="1100" kern="1200"/>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234738</xdr:colOff>
      <xdr:row>3</xdr:row>
      <xdr:rowOff>74083</xdr:rowOff>
    </xdr:from>
    <xdr:to>
      <xdr:col>8</xdr:col>
      <xdr:colOff>783167</xdr:colOff>
      <xdr:row>13</xdr:row>
      <xdr:rowOff>127000</xdr:rowOff>
    </xdr:to>
    <xdr:cxnSp macro="">
      <xdr:nvCxnSpPr>
        <xdr:cNvPr id="15" name="Connector: Elbow 14">
          <a:extLst>
            <a:ext uri="{FF2B5EF4-FFF2-40B4-BE49-F238E27FC236}">
              <a16:creationId xmlns:a16="http://schemas.microsoft.com/office/drawing/2014/main" id="{78F6F994-5FC7-E69D-DB6C-D324ADE148E0}"/>
            </a:ext>
          </a:extLst>
        </xdr:cNvPr>
        <xdr:cNvCxnSpPr/>
      </xdr:nvCxnSpPr>
      <xdr:spPr>
        <a:xfrm>
          <a:off x="234738" y="1333500"/>
          <a:ext cx="9152679" cy="2053167"/>
        </a:xfrm>
        <a:prstGeom prst="bentConnector3">
          <a:avLst>
            <a:gd name="adj1" fmla="val -678"/>
          </a:avLst>
        </a:prstGeom>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7D9B3E26FD1AFAB2/Budget/2025%20Budget/Budget%202025%20v3%201-19-2025.xlsx" TargetMode="External"/><Relationship Id="rId1" Type="http://schemas.openxmlformats.org/officeDocument/2006/relationships/externalLinkPath" Target="https://d.docs.live.net/7D9B3E26FD1AFAB2/Budget/2025%20Budget/Budget%202025%20v3%201-1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sh Accounts"/>
      <sheetName val="Account Balances"/>
      <sheetName val="Budget 2025"/>
      <sheetName val="transfers"/>
      <sheetName val="Credit Card Payments"/>
      <sheetName val="Current Forecast"/>
      <sheetName val="Forecast vs actual"/>
      <sheetName val="Beginning Forecast"/>
      <sheetName val="Register Category Pivot"/>
      <sheetName val="Register Pivot"/>
      <sheetName val="Register"/>
      <sheetName val="401k Contribution"/>
      <sheetName val="Housing Expenses"/>
      <sheetName val="Categories"/>
      <sheetName val="Transfer Action"/>
      <sheetName val="Budget 2025 v3 1-19-2025"/>
    </sheetNames>
    <sheetDataSet>
      <sheetData sheetId="0"/>
      <sheetData sheetId="1"/>
      <sheetData sheetId="2">
        <row r="24">
          <cell r="AF24">
            <v>-1398.4399999999998</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persons/person.xml><?xml version="1.0" encoding="utf-8"?>
<personList xmlns="http://schemas.microsoft.com/office/spreadsheetml/2018/threadedcomments" xmlns:x="http://schemas.openxmlformats.org/spreadsheetml/2006/main">
  <person displayName="Ken Hizer" id="{9A3F20CE-0939-4455-86AF-EE4E31C1F751}" userId="7d9b3e26fd1afab2"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 refreshedDate="45952.332418055557" createdVersion="8" refreshedVersion="8" minRefreshableVersion="3" recordCount="138" xr:uid="{3EEE4E4A-BFA2-4DCF-8C81-A5E624272DE9}">
  <cacheSource type="worksheet">
    <worksheetSource ref="A4:AX1000" sheet="Charge Stats"/>
  </cacheSource>
  <cacheFields count="51">
    <cacheField name="Date" numFmtId="0">
      <sharedItems containsNonDate="0" containsDate="1" containsString="0" containsBlank="1" minDate="2025-08-31T00:00:00" maxDate="2026-01-15T00:00:00" count="138">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m/>
      </sharedItems>
      <fieldGroup par="50"/>
    </cacheField>
    <cacheField name="Odometer Miles" numFmtId="0">
      <sharedItems containsString="0" containsBlank="1" containsNumber="1" containsInteger="1" minValue="0" maxValue="1775"/>
    </cacheField>
    <cacheField name="Miles Driven" numFmtId="0">
      <sharedItems containsString="0" containsBlank="1" containsNumber="1" containsInteger="1" minValue="0" maxValue="250"/>
    </cacheField>
    <cacheField name="Super Charger KWh" numFmtId="0">
      <sharedItems containsString="0" containsBlank="1" containsNumber="1" containsInteger="1" minValue="0" maxValue="49"/>
    </cacheField>
    <cacheField name="Home L1 Chg KWh" numFmtId="0">
      <sharedItems containsString="0" containsBlank="1" containsNumber="1" containsInteger="1" minValue="0" maxValue="21"/>
    </cacheField>
    <cacheField name="Home L2 Chg KWh" numFmtId="0">
      <sharedItems containsString="0" containsBlank="1" containsNumber="1" containsInteger="1" minValue="0" maxValue="32"/>
    </cacheField>
    <cacheField name="Home KWh" numFmtId="0">
      <sharedItems containsString="0" containsBlank="1" containsNumber="1" containsInteger="1" minValue="0" maxValue="32"/>
    </cacheField>
    <cacheField name="Total KWh" numFmtId="0">
      <sharedItems containsString="0" containsBlank="1" containsNumber="1" containsInteger="1" minValue="0" maxValue="49"/>
    </cacheField>
    <cacheField name="chg % start" numFmtId="0">
      <sharedItems containsString="0" containsBlank="1" containsNumber="1" containsInteger="1" minValue="0" maxValue="75"/>
    </cacheField>
    <cacheField name="Chg % after" numFmtId="0">
      <sharedItems containsString="0" containsBlank="1" containsNumber="1" containsInteger="1" minValue="0" maxValue="100"/>
    </cacheField>
    <cacheField name="Chg %" numFmtId="0">
      <sharedItems containsString="0" containsBlank="1" containsNumber="1" containsInteger="1" minValue="0" maxValue="80"/>
    </cacheField>
    <cacheField name="Chg Start Time" numFmtId="0">
      <sharedItems containsNonDate="0" containsDate="1" containsString="0" containsBlank="1" minDate="1899-12-30T00:00:00" maxDate="1899-12-30T21:00:00"/>
    </cacheField>
    <cacheField name="Chg End Time" numFmtId="0">
      <sharedItems containsNonDate="0" containsDate="1" containsString="0" containsBlank="1" minDate="1899-12-30T00:00:00" maxDate="1899-12-31T00:00:00"/>
    </cacheField>
    <cacheField name="Chg hours" numFmtId="0">
      <sharedItems containsString="0" containsBlank="1" containsNumber="1" minValue="0" maxValue="18"/>
    </cacheField>
    <cacheField name="max miles after chg" numFmtId="0">
      <sharedItems containsString="0" containsBlank="1" containsNumber="1" containsInteger="1" minValue="0" maxValue="353"/>
    </cacheField>
    <cacheField name="Miles per KWh" numFmtId="0">
      <sharedItems containsString="0" containsBlank="1" containsNumber="1" minValue="0" maxValue="7"/>
    </cacheField>
    <cacheField name="Cost / KWh Super Charger" numFmtId="0">
      <sharedItems containsString="0" containsBlank="1" containsNumber="1" minValue="0" maxValue="0.4"/>
    </cacheField>
    <cacheField name="Cost Per KWh Home" numFmtId="0">
      <sharedItems containsString="0" containsBlank="1" containsNumber="1" minValue="0.13702267739575713" maxValue="0.13709934735315446"/>
    </cacheField>
    <cacheField name="Charge Cost Super Chg" numFmtId="0">
      <sharedItems containsString="0" containsBlank="1" containsNumber="1" minValue="0" maxValue="16.66"/>
    </cacheField>
    <cacheField name="Charge Cost Home" numFmtId="0">
      <sharedItems containsString="0" containsBlank="1" containsNumber="1" minValue="0" maxValue="4.3847256766642282"/>
    </cacheField>
    <cacheField name="Total Charge Cost" numFmtId="0">
      <sharedItems containsString="0" containsBlank="1" containsNumber="1" minValue="0" maxValue="16.66"/>
    </cacheField>
    <cacheField name="Gas Price Per Gal" numFmtId="0">
      <sharedItems containsString="0" containsBlank="1" containsNumber="1" minValue="0" maxValue="2.79"/>
    </cacheField>
    <cacheField name="Est Gallons of gas" numFmtId="0">
      <sharedItems containsString="0" containsBlank="1" containsNumber="1" minValue="0" maxValue="10"/>
    </cacheField>
    <cacheField name="Est Gas Cost" numFmtId="0">
      <sharedItems containsString="0" containsBlank="1" containsNumber="1" minValue="0" maxValue="27.9"/>
    </cacheField>
    <cacheField name="Charge / Gas Cost Difference" numFmtId="0">
      <sharedItems containsString="0" containsBlank="1" containsNumber="1" minValue="-2.3599999999999994" maxValue="16.726342355523041"/>
    </cacheField>
    <cacheField name="% saving" numFmtId="0">
      <sharedItems containsString="0" containsBlank="1" containsNumber="1" minValue="-2.1141517589944803" maxValue="0.82459974731725916"/>
    </cacheField>
    <cacheField name="Home Chg Saving" numFmtId="0">
      <sharedItems containsString="0" containsBlank="1" containsNumber="1" minValue="0" maxValue="8.0952743233357722"/>
    </cacheField>
    <cacheField name="all Super Chg Cost" numFmtId="0">
      <sharedItems containsString="0" containsBlank="1" containsNumber="1" minValue="0" maxValue="18.8"/>
    </cacheField>
    <cacheField name="all Gas Cost" numFmtId="0">
      <sharedItems containsString="0" containsBlank="1" containsNumber="1" minValue="0" maxValue="27.9"/>
    </cacheField>
    <cacheField name="All Home Chg cost" numFmtId="0">
      <sharedItems containsString="0" containsBlank="1" containsNumber="1" minValue="0" maxValue="6.7178680203045689"/>
    </cacheField>
    <cacheField name="Amt Gas aved All Super  Chg" numFmtId="0">
      <sharedItems containsString="0" containsBlank="1" containsNumber="1" minValue="-6.894000000000001" maxValue="9.0999999999999979"/>
    </cacheField>
    <cacheField name="Amt Gas Saved All Home Chg" numFmtId="0">
      <sharedItems containsString="0" containsBlank="1" containsNumber="1" minValue="-1.3953401609363569" maxValue="21.459934162399414"/>
    </cacheField>
    <cacheField name="Amt Saved Home vs Super Chg" numFmtId="0">
      <sharedItems containsString="0" containsBlank="1" containsNumber="1" minValue="0" maxValue="12.359934162399416"/>
    </cacheField>
    <cacheField name="Carbon dioxide (CO₂)" numFmtId="0">
      <sharedItems containsString="0" containsBlank="1" containsNumber="1" minValue="0" maxValue="196"/>
    </cacheField>
    <cacheField name="Water vapor (H₂O)" numFmtId="0">
      <sharedItems containsString="0" containsBlank="1" containsNumber="1" minValue="0" maxValue="80"/>
    </cacheField>
    <cacheField name="**Nitrogen**       N₂              " numFmtId="0">
      <sharedItems containsString="0" containsBlank="1" containsNumber="1" containsInteger="1" minValue="0" maxValue="0"/>
    </cacheField>
    <cacheField name="Carbon monoxide (CO)" numFmtId="0">
      <sharedItems containsString="0" containsBlank="1" containsNumber="1" minValue="0" maxValue="0.2"/>
    </cacheField>
    <cacheField name="Nitrogen oxides (NOₓ)" numFmtId="0">
      <sharedItems containsString="0" containsBlank="1" containsNumber="1" minValue="0" maxValue="0.1"/>
    </cacheField>
    <cacheField name="Unburned hydrocarbons (VOCs)" numFmtId="0">
      <sharedItems containsString="0" containsBlank="1" containsNumber="1" minValue="0" maxValue="0.02"/>
    </cacheField>
    <cacheField name="Particulate matter (PM2.5)" numFmtId="0">
      <sharedItems containsString="0" containsBlank="1" containsNumber="1" minValue="0" maxValue="0.01"/>
    </cacheField>
    <cacheField name="Sulfur dioxide (SO₂)" numFmtId="0">
      <sharedItems containsString="0" containsBlank="1" containsNumber="1" minValue="0" maxValue="0.04"/>
    </cacheField>
    <cacheField name="cu Ft Natural Gas" numFmtId="0">
      <sharedItems containsString="0" containsBlank="1" containsNumber="1" minValue="0" maxValue="167.18799999999999"/>
    </cacheField>
    <cacheField name="Carbon dioxide (CO₂)2" numFmtId="0">
      <sharedItems containsString="0" containsBlank="1" containsNumber="1" minValue="0" maxValue="19.560995999999999"/>
    </cacheField>
    <cacheField name="Water vapor (H₂O)2" numFmtId="0">
      <sharedItems containsString="0" containsBlank="1" containsNumber="1" minValue="0" maxValue="24.075071999999995"/>
    </cacheField>
    <cacheField name="**Nitrogen**       N₂              2" numFmtId="0">
      <sharedItems containsString="0" containsBlank="1" containsNumber="1" minValue="0" maxValue="785.78359999999998"/>
    </cacheField>
    <cacheField name="Carbon monoxide (CO)2" numFmtId="0">
      <sharedItems containsString="0" containsBlank="1" containsNumber="1" minValue="0" maxValue="1.4043791999999998E-2"/>
    </cacheField>
    <cacheField name="Nitrogen oxides (NOₓ)2" numFmtId="0">
      <sharedItems containsString="0" containsBlank="1" containsNumber="1" minValue="0" maxValue="1.6718799999999999E-2"/>
    </cacheField>
    <cacheField name="Unburned hydrocarbons (VOCs)2" numFmtId="0">
      <sharedItems containsString="0" containsBlank="1" containsNumber="1" minValue="0" maxValue="8.3593999999999997E-4"/>
    </cacheField>
    <cacheField name="Particulate matter (PM2.5)2" numFmtId="0">
      <sharedItems containsString="0" containsBlank="1" containsNumber="1" containsInteger="1" minValue="0" maxValue="0"/>
    </cacheField>
    <cacheField name="Sulfur dioxide (SO₂)2" numFmtId="0">
      <sharedItems containsString="0" containsBlank="1" containsNumber="1" containsInteger="1" minValue="0" maxValue="0"/>
    </cacheField>
    <cacheField name="Days (Date)" numFmtId="0" databaseField="0">
      <fieldGroup base="0">
        <rangePr groupBy="days" startDate="2025-08-31T00:00:00" endDate="2026-01-15T00:00:00" groupInterval="7"/>
        <groupItems count="22">
          <s v="&lt;8/31/2025"/>
          <s v="8/31/2025 - 9/6/2025"/>
          <s v="9/7/2025 - 9/13/2025"/>
          <s v="9/14/2025 - 9/20/2025"/>
          <s v="9/21/2025 - 9/27/2025"/>
          <s v="9/28/2025 - 10/4/2025"/>
          <s v="10/5/2025 - 10/11/2025"/>
          <s v="10/12/2025 - 10/18/2025"/>
          <s v="10/19/2025 - 10/25/2025"/>
          <s v="10/26/2025 - 11/1/2025"/>
          <s v="11/2/2025 - 11/8/2025"/>
          <s v="11/9/2025 - 11/15/2025"/>
          <s v="11/16/2025 - 11/22/2025"/>
          <s v="11/23/2025 - 11/29/2025"/>
          <s v="11/30/2025 - 12/6/2025"/>
          <s v="12/7/2025 - 12/13/2025"/>
          <s v="12/14/2025 - 12/20/2025"/>
          <s v="12/21/2025 - 12/27/2025"/>
          <s v="12/28/2025 - 1/3/2026"/>
          <s v="1/4/2026 - 1/10/2026"/>
          <s v="1/11/2026 - 1/15/2026"/>
          <s v="&gt;1/15/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
  <r>
    <x v="0"/>
    <n v="0"/>
    <n v="0"/>
    <n v="0"/>
    <n v="0"/>
    <n v="0"/>
    <n v="0"/>
    <n v="0"/>
    <n v="0"/>
    <n v="0"/>
    <n v="0"/>
    <m/>
    <m/>
    <n v="0"/>
    <n v="0"/>
    <n v="0"/>
    <n v="0"/>
    <n v="0.13709934735315446"/>
    <n v="0"/>
    <n v="0"/>
    <n v="0"/>
    <n v="0"/>
    <m/>
    <m/>
    <n v="0"/>
    <n v="0"/>
    <n v="0"/>
    <n v="0"/>
    <n v="0"/>
    <n v="0"/>
    <n v="0"/>
    <n v="0"/>
    <n v="0"/>
    <m/>
    <m/>
    <m/>
    <m/>
    <m/>
    <m/>
    <m/>
    <m/>
    <m/>
    <m/>
    <m/>
    <m/>
    <m/>
    <m/>
    <m/>
    <m/>
    <m/>
  </r>
  <r>
    <x v="1"/>
    <n v="0"/>
    <n v="0"/>
    <n v="0"/>
    <n v="0"/>
    <n v="0"/>
    <n v="0"/>
    <n v="0"/>
    <n v="0"/>
    <n v="0"/>
    <n v="0"/>
    <m/>
    <m/>
    <n v="0"/>
    <n v="0"/>
    <n v="0"/>
    <n v="0"/>
    <n v="0.13709934735315446"/>
    <n v="0"/>
    <n v="0"/>
    <n v="0"/>
    <n v="0"/>
    <n v="0"/>
    <n v="0"/>
    <n v="0"/>
    <n v="0"/>
    <n v="0"/>
    <n v="0"/>
    <n v="0"/>
    <n v="0"/>
    <n v="0"/>
    <n v="0"/>
    <n v="0"/>
    <n v="0"/>
    <n v="0"/>
    <n v="0"/>
    <n v="0"/>
    <n v="0"/>
    <n v="0"/>
    <n v="0"/>
    <n v="0"/>
    <n v="0"/>
    <n v="0"/>
    <n v="0"/>
    <n v="0"/>
    <n v="0"/>
    <n v="0"/>
    <n v="0"/>
    <n v="0"/>
    <n v="0"/>
  </r>
  <r>
    <x v="2"/>
    <n v="0"/>
    <n v="0"/>
    <n v="0"/>
    <n v="0"/>
    <n v="0"/>
    <n v="0"/>
    <n v="0"/>
    <n v="0"/>
    <n v="0"/>
    <n v="0"/>
    <m/>
    <m/>
    <n v="0"/>
    <n v="0"/>
    <n v="0"/>
    <n v="0"/>
    <n v="0.13709934735315446"/>
    <n v="0"/>
    <n v="0"/>
    <n v="0"/>
    <n v="0"/>
    <n v="0"/>
    <n v="0"/>
    <n v="0"/>
    <n v="0"/>
    <n v="0"/>
    <n v="0"/>
    <n v="0"/>
    <n v="0"/>
    <n v="0"/>
    <n v="0"/>
    <n v="0"/>
    <n v="0"/>
    <n v="0"/>
    <n v="0"/>
    <n v="0"/>
    <n v="0"/>
    <n v="0"/>
    <n v="0"/>
    <n v="0"/>
    <n v="0"/>
    <n v="0"/>
    <n v="0"/>
    <n v="0"/>
    <n v="0"/>
    <n v="0"/>
    <n v="0"/>
    <n v="0"/>
    <n v="0"/>
  </r>
  <r>
    <x v="3"/>
    <n v="0"/>
    <n v="0"/>
    <n v="0"/>
    <n v="0"/>
    <n v="0"/>
    <n v="0"/>
    <n v="0"/>
    <n v="0"/>
    <n v="0"/>
    <n v="0"/>
    <m/>
    <m/>
    <n v="0"/>
    <n v="0"/>
    <n v="0"/>
    <n v="0"/>
    <n v="0.13709934735315446"/>
    <n v="0"/>
    <n v="0"/>
    <n v="0"/>
    <n v="0"/>
    <n v="0"/>
    <n v="0"/>
    <n v="0"/>
    <n v="0"/>
    <n v="0"/>
    <n v="0"/>
    <n v="0"/>
    <n v="0"/>
    <n v="0"/>
    <n v="0"/>
    <n v="0"/>
    <n v="0"/>
    <n v="0"/>
    <n v="0"/>
    <n v="0"/>
    <n v="0"/>
    <n v="0"/>
    <n v="0"/>
    <n v="0"/>
    <n v="0"/>
    <n v="0"/>
    <n v="0"/>
    <n v="0"/>
    <n v="0"/>
    <n v="0"/>
    <n v="0"/>
    <n v="0"/>
    <n v="0"/>
  </r>
  <r>
    <x v="4"/>
    <n v="0"/>
    <n v="0"/>
    <n v="0"/>
    <n v="0"/>
    <n v="0"/>
    <n v="0"/>
    <n v="0"/>
    <n v="0"/>
    <n v="0"/>
    <n v="0"/>
    <m/>
    <m/>
    <n v="0"/>
    <n v="0"/>
    <n v="0"/>
    <n v="0"/>
    <n v="0.13709934735315446"/>
    <n v="0"/>
    <n v="0"/>
    <n v="0"/>
    <n v="0"/>
    <n v="0"/>
    <n v="0"/>
    <n v="0"/>
    <n v="0"/>
    <n v="0"/>
    <n v="0"/>
    <n v="0"/>
    <n v="0"/>
    <n v="0"/>
    <n v="0"/>
    <n v="0"/>
    <n v="0"/>
    <n v="0"/>
    <n v="0"/>
    <n v="0"/>
    <n v="0"/>
    <n v="0"/>
    <n v="0"/>
    <n v="0"/>
    <n v="0"/>
    <n v="0"/>
    <n v="0"/>
    <n v="0"/>
    <n v="0"/>
    <n v="0"/>
    <n v="0"/>
    <n v="0"/>
    <n v="0"/>
  </r>
  <r>
    <x v="5"/>
    <n v="130"/>
    <n v="130"/>
    <n v="49"/>
    <n v="0"/>
    <n v="0"/>
    <n v="0"/>
    <n v="49"/>
    <n v="0"/>
    <n v="80"/>
    <n v="80"/>
    <d v="1899-12-30T20:00:00"/>
    <d v="1899-12-30T00:00:00"/>
    <n v="0.3"/>
    <n v="0"/>
    <n v="2.6530612244897958"/>
    <n v="0.34"/>
    <n v="0.13709934735315446"/>
    <n v="16.66"/>
    <n v="0"/>
    <n v="16.66"/>
    <n v="2.75"/>
    <n v="5.2"/>
    <n v="14.3"/>
    <n v="-2.3599999999999994"/>
    <n v="-0.16503496503496498"/>
    <n v="0"/>
    <n v="16.66"/>
    <n v="14.3"/>
    <n v="6.7178680203045689"/>
    <n v="-2.3599999999999994"/>
    <n v="7.5821319796954318"/>
    <n v="9.9421319796954322"/>
    <n v="101.92000000000002"/>
    <n v="41.6"/>
    <n v="0"/>
    <n v="0.10400000000000001"/>
    <n v="5.2000000000000005E-2"/>
    <n v="1.0400000000000001E-2"/>
    <n v="5.2000000000000006E-3"/>
    <n v="2.0800000000000003E-2"/>
    <n v="167.18799999999999"/>
    <n v="19.560995999999999"/>
    <n v="24.075071999999995"/>
    <n v="785.78359999999998"/>
    <n v="1.4043791999999998E-2"/>
    <n v="1.6718799999999999E-2"/>
    <n v="8.3593999999999997E-4"/>
    <n v="0"/>
    <n v="0"/>
  </r>
  <r>
    <x v="6"/>
    <n v="0"/>
    <n v="0"/>
    <n v="0"/>
    <n v="0"/>
    <n v="0"/>
    <n v="0"/>
    <n v="0"/>
    <n v="0"/>
    <n v="0"/>
    <n v="0"/>
    <m/>
    <m/>
    <n v="0"/>
    <n v="0"/>
    <n v="0"/>
    <n v="0"/>
    <n v="0.13709934735315446"/>
    <n v="0"/>
    <n v="0"/>
    <n v="0"/>
    <n v="0"/>
    <n v="0"/>
    <n v="0"/>
    <n v="0"/>
    <n v="0"/>
    <n v="0"/>
    <n v="0"/>
    <n v="0"/>
    <n v="0"/>
    <n v="0"/>
    <n v="0"/>
    <n v="0"/>
    <n v="0"/>
    <n v="0"/>
    <n v="0"/>
    <n v="0"/>
    <n v="0"/>
    <n v="0"/>
    <n v="0"/>
    <n v="0"/>
    <n v="0"/>
    <n v="0"/>
    <n v="0"/>
    <n v="0"/>
    <n v="0"/>
    <n v="0"/>
    <n v="0"/>
    <n v="0"/>
    <n v="0"/>
  </r>
  <r>
    <x v="7"/>
    <n v="0"/>
    <n v="0"/>
    <n v="0"/>
    <n v="0"/>
    <n v="0"/>
    <n v="0"/>
    <n v="0"/>
    <n v="0"/>
    <n v="0"/>
    <n v="0"/>
    <m/>
    <m/>
    <n v="0"/>
    <n v="0"/>
    <n v="0"/>
    <n v="0"/>
    <n v="0.13709934735315446"/>
    <n v="0"/>
    <n v="0"/>
    <n v="0"/>
    <n v="0"/>
    <n v="0"/>
    <n v="0"/>
    <n v="0"/>
    <n v="0"/>
    <n v="0"/>
    <n v="0"/>
    <n v="0"/>
    <n v="0"/>
    <n v="0"/>
    <n v="0"/>
    <n v="0"/>
    <n v="0"/>
    <n v="0"/>
    <n v="0"/>
    <n v="0"/>
    <n v="0"/>
    <n v="0"/>
    <n v="0"/>
    <n v="0"/>
    <n v="0"/>
    <n v="0"/>
    <n v="0"/>
    <n v="0"/>
    <n v="0"/>
    <n v="0"/>
    <n v="0"/>
    <n v="0"/>
    <n v="0"/>
  </r>
  <r>
    <x v="8"/>
    <n v="300"/>
    <n v="170"/>
    <n v="38"/>
    <n v="0"/>
    <n v="0"/>
    <n v="0"/>
    <n v="38"/>
    <n v="0"/>
    <n v="80"/>
    <n v="80"/>
    <d v="1899-12-30T20:00:00"/>
    <d v="1899-12-30T00:00:00"/>
    <n v="0.3"/>
    <n v="0"/>
    <n v="4.4736842105263159"/>
    <n v="0.34"/>
    <n v="0.13702267739575713"/>
    <n v="12.920000000000002"/>
    <n v="0"/>
    <n v="12.920000000000002"/>
    <n v="2.75"/>
    <n v="6.8"/>
    <n v="18.7"/>
    <n v="5.7799999999999976"/>
    <n v="0.30909090909090897"/>
    <n v="0"/>
    <n v="12.920000000000002"/>
    <n v="18.7"/>
    <n v="5.2068617410387708"/>
    <n v="5.7799999999999976"/>
    <n v="13.493138258961228"/>
    <n v="7.713138258961231"/>
    <n v="133.28"/>
    <n v="54.4"/>
    <n v="0"/>
    <n v="0.13600000000000001"/>
    <n v="6.8000000000000005E-2"/>
    <n v="1.3599999999999999E-2"/>
    <n v="6.7999999999999996E-3"/>
    <n v="2.7199999999999998E-2"/>
    <n v="129.65600000000001"/>
    <n v="15.169752000000001"/>
    <n v="18.670463999999999"/>
    <n v="609.3832000000001"/>
    <n v="1.0891104E-2"/>
    <n v="1.2965600000000001E-2"/>
    <n v="6.482800000000001E-4"/>
    <n v="0"/>
    <n v="0"/>
  </r>
  <r>
    <x v="9"/>
    <n v="0"/>
    <n v="0"/>
    <n v="0"/>
    <n v="0"/>
    <n v="0"/>
    <n v="0"/>
    <n v="0"/>
    <n v="0"/>
    <n v="0"/>
    <n v="0"/>
    <m/>
    <m/>
    <n v="0"/>
    <n v="0"/>
    <n v="0"/>
    <n v="0"/>
    <n v="0.13702267739575713"/>
    <n v="0"/>
    <n v="0"/>
    <n v="0"/>
    <n v="0"/>
    <n v="0"/>
    <n v="0"/>
    <n v="0"/>
    <n v="0"/>
    <n v="0"/>
    <n v="0"/>
    <n v="0"/>
    <n v="0"/>
    <n v="0"/>
    <n v="0"/>
    <n v="0"/>
    <n v="0"/>
    <n v="0"/>
    <n v="0"/>
    <n v="0"/>
    <n v="0"/>
    <n v="0"/>
    <n v="0"/>
    <n v="0"/>
    <n v="0"/>
    <n v="0"/>
    <n v="0"/>
    <n v="0"/>
    <n v="0"/>
    <n v="0"/>
    <n v="0"/>
    <n v="0"/>
    <n v="0"/>
  </r>
  <r>
    <x v="10"/>
    <n v="0"/>
    <n v="0"/>
    <n v="0"/>
    <n v="0"/>
    <n v="0"/>
    <n v="0"/>
    <n v="0"/>
    <n v="0"/>
    <n v="0"/>
    <n v="0"/>
    <m/>
    <m/>
    <n v="0"/>
    <n v="0"/>
    <n v="0"/>
    <n v="0"/>
    <n v="0.13702267739575713"/>
    <n v="0"/>
    <n v="0"/>
    <n v="0"/>
    <n v="0"/>
    <n v="0"/>
    <n v="0"/>
    <n v="0"/>
    <n v="0"/>
    <n v="0"/>
    <n v="0"/>
    <n v="0"/>
    <n v="0"/>
    <n v="0"/>
    <n v="0"/>
    <n v="0"/>
    <n v="0"/>
    <n v="0"/>
    <n v="0"/>
    <n v="0"/>
    <n v="0"/>
    <n v="0"/>
    <n v="0"/>
    <n v="0"/>
    <n v="0"/>
    <n v="0"/>
    <n v="0"/>
    <n v="0"/>
    <n v="0"/>
    <n v="0"/>
    <n v="0"/>
    <n v="0"/>
    <n v="0"/>
  </r>
  <r>
    <x v="11"/>
    <n v="0"/>
    <n v="0"/>
    <n v="0"/>
    <n v="0"/>
    <n v="0"/>
    <n v="0"/>
    <n v="0"/>
    <n v="0"/>
    <n v="0"/>
    <n v="0"/>
    <m/>
    <m/>
    <n v="0"/>
    <n v="0"/>
    <n v="0"/>
    <n v="0"/>
    <n v="0.13702267739575713"/>
    <n v="0"/>
    <n v="0"/>
    <n v="0"/>
    <n v="0"/>
    <n v="0"/>
    <n v="0"/>
    <n v="0"/>
    <n v="0"/>
    <n v="0"/>
    <n v="0"/>
    <n v="0"/>
    <n v="0"/>
    <n v="0"/>
    <n v="0"/>
    <n v="0"/>
    <n v="0"/>
    <n v="0"/>
    <n v="0"/>
    <n v="0"/>
    <n v="0"/>
    <n v="0"/>
    <n v="0"/>
    <n v="0"/>
    <n v="0"/>
    <n v="0"/>
    <n v="0"/>
    <n v="0"/>
    <n v="0"/>
    <n v="0"/>
    <n v="0"/>
    <n v="0"/>
    <n v="0"/>
  </r>
  <r>
    <x v="12"/>
    <n v="325"/>
    <n v="25"/>
    <n v="0"/>
    <n v="4"/>
    <n v="0"/>
    <n v="4"/>
    <n v="4"/>
    <n v="0"/>
    <n v="0"/>
    <n v="0"/>
    <d v="1899-12-30T20:00:00"/>
    <d v="1899-12-30T00:00:00"/>
    <n v="8"/>
    <n v="0"/>
    <n v="6.25"/>
    <n v="0.39"/>
    <n v="0.13702267739575713"/>
    <n v="0"/>
    <n v="0.54809070958302852"/>
    <n v="0.54809070958302852"/>
    <n v="2.75"/>
    <n v="1"/>
    <n v="2.75"/>
    <n v="2.2019092904169715"/>
    <n v="0.80069428742435322"/>
    <n v="1.0119092904169715"/>
    <n v="1.56"/>
    <n v="2.75"/>
    <n v="0.54809070958302852"/>
    <n v="1.19"/>
    <n v="2.2019092904169715"/>
    <n v="1.0119092904169715"/>
    <n v="19.600000000000001"/>
    <n v="8"/>
    <n v="0"/>
    <n v="0.02"/>
    <n v="0.01"/>
    <n v="2E-3"/>
    <n v="1E-3"/>
    <n v="4.0000000000000001E-3"/>
    <n v="13.648"/>
    <n v="1.596816"/>
    <n v="1.9653119999999997"/>
    <n v="64.145600000000002"/>
    <n v="1.146432E-3"/>
    <n v="1.3648E-3"/>
    <n v="6.8240000000000011E-5"/>
    <n v="0"/>
    <n v="0"/>
  </r>
  <r>
    <x v="13"/>
    <n v="425"/>
    <n v="100"/>
    <n v="38"/>
    <n v="10"/>
    <n v="0"/>
    <n v="10"/>
    <n v="48"/>
    <n v="0"/>
    <n v="80"/>
    <n v="80"/>
    <d v="1899-12-30T20:00:00"/>
    <d v="1899-12-30T08:00:00"/>
    <n v="12"/>
    <n v="0"/>
    <n v="2.0833333333333335"/>
    <n v="0.3"/>
    <n v="0.13702267739575713"/>
    <n v="11.4"/>
    <n v="1.3702267739575713"/>
    <n v="12.770226773957571"/>
    <n v="2.75"/>
    <n v="4"/>
    <n v="11"/>
    <n v="-1.770226773957571"/>
    <n v="-0.16092970672341556"/>
    <n v="1.6297732260424287"/>
    <n v="14.399999999999999"/>
    <n v="11"/>
    <n v="6.5770885149963423"/>
    <n v="-3.3999999999999986"/>
    <n v="4.4229114850036577"/>
    <n v="7.8229114850036563"/>
    <n v="78.400000000000006"/>
    <n v="32"/>
    <n v="0"/>
    <n v="0.08"/>
    <n v="0.04"/>
    <n v="8.0000000000000002E-3"/>
    <n v="4.0000000000000001E-3"/>
    <n v="1.6E-2"/>
    <n v="163.77600000000001"/>
    <n v="19.161792000000002"/>
    <n v="23.583743999999999"/>
    <n v="769.74720000000013"/>
    <n v="1.3757184E-2"/>
    <n v="1.6377600000000003E-2"/>
    <n v="8.1888000000000013E-4"/>
    <n v="0"/>
    <n v="0"/>
  </r>
  <r>
    <x v="14"/>
    <n v="430"/>
    <n v="5"/>
    <n v="0"/>
    <n v="7"/>
    <n v="0"/>
    <n v="7"/>
    <n v="7"/>
    <n v="0"/>
    <n v="0"/>
    <n v="0"/>
    <d v="1899-12-30T20:00:00"/>
    <d v="1899-12-30T05:00:00"/>
    <n v="9"/>
    <n v="0"/>
    <n v="0.7142857142857143"/>
    <n v="0.39"/>
    <n v="0.13702267739575713"/>
    <n v="0"/>
    <n v="0.95915874177029992"/>
    <n v="0.95915874177029992"/>
    <n v="2.75"/>
    <n v="0.2"/>
    <n v="0.55000000000000004"/>
    <n v="-0.40915874177029987"/>
    <n v="-0.74392498503690885"/>
    <n v="1.7708412582297002"/>
    <n v="2.73"/>
    <n v="0.55000000000000004"/>
    <n v="0.95915874177029992"/>
    <n v="-2.1799999999999997"/>
    <n v="-0.40915874177029987"/>
    <n v="1.7708412582297002"/>
    <n v="3.9200000000000004"/>
    <n v="1.6"/>
    <n v="0"/>
    <n v="4.0000000000000001E-3"/>
    <n v="2E-3"/>
    <n v="4.0000000000000002E-4"/>
    <n v="2.0000000000000001E-4"/>
    <n v="8.0000000000000004E-4"/>
    <n v="23.884"/>
    <n v="2.7944280000000004"/>
    <n v="3.4392959999999997"/>
    <n v="112.2548"/>
    <n v="2.0062560000000001E-3"/>
    <n v="2.3884000000000002E-3"/>
    <n v="1.1942000000000001E-4"/>
    <n v="0"/>
    <n v="0"/>
  </r>
  <r>
    <x v="15"/>
    <n v="0"/>
    <n v="0"/>
    <n v="0"/>
    <n v="0"/>
    <n v="0"/>
    <n v="0"/>
    <n v="0"/>
    <n v="0"/>
    <n v="0"/>
    <n v="0"/>
    <m/>
    <m/>
    <n v="0"/>
    <n v="0"/>
    <n v="0"/>
    <n v="0"/>
    <n v="0.13702267739575713"/>
    <n v="0"/>
    <n v="0"/>
    <n v="0"/>
    <n v="0"/>
    <n v="0"/>
    <n v="0"/>
    <n v="0"/>
    <n v="0"/>
    <n v="0"/>
    <n v="0"/>
    <n v="0"/>
    <n v="0"/>
    <n v="0"/>
    <n v="0"/>
    <n v="0"/>
    <n v="0"/>
    <n v="0"/>
    <n v="0"/>
    <n v="0"/>
    <n v="0"/>
    <n v="0"/>
    <n v="0"/>
    <n v="0"/>
    <n v="0"/>
    <n v="0"/>
    <n v="0"/>
    <n v="0"/>
    <n v="0"/>
    <n v="0"/>
    <n v="0"/>
    <n v="0"/>
    <n v="0"/>
  </r>
  <r>
    <x v="16"/>
    <n v="552"/>
    <n v="122"/>
    <n v="0"/>
    <n v="21"/>
    <n v="0"/>
    <n v="21"/>
    <n v="21"/>
    <n v="60"/>
    <n v="73"/>
    <n v="13"/>
    <d v="1899-12-30T20:00:00"/>
    <d v="1899-12-30T05:00:00"/>
    <n v="18"/>
    <n v="0"/>
    <n v="5.8095238095238093"/>
    <n v="0.39"/>
    <n v="0.13702267739575713"/>
    <n v="0"/>
    <n v="2.8774762253108999"/>
    <n v="2.8774762253108999"/>
    <n v="2.75"/>
    <n v="4.88"/>
    <n v="13.42"/>
    <n v="10.5425237746891"/>
    <n v="0.78558299364300299"/>
    <n v="5.3125237746890992"/>
    <n v="8.19"/>
    <n v="13.42"/>
    <n v="2.8774762253108999"/>
    <n v="5.23"/>
    <n v="10.5425237746891"/>
    <n v="5.3125237746890992"/>
    <n v="95.64800000000001"/>
    <n v="39.04"/>
    <n v="0"/>
    <n v="9.7600000000000006E-2"/>
    <n v="4.8800000000000003E-2"/>
    <n v="9.7599999999999996E-3"/>
    <n v="4.8799999999999998E-3"/>
    <n v="1.9519999999999999E-2"/>
    <n v="71.652000000000001"/>
    <n v="8.3832839999999997"/>
    <n v="10.317888"/>
    <n v="336.76440000000002"/>
    <n v="6.0187679999999999E-3"/>
    <n v="7.1652E-3"/>
    <n v="3.5826000000000006E-4"/>
    <n v="0"/>
    <n v="0"/>
  </r>
  <r>
    <x v="17"/>
    <n v="561"/>
    <n v="9"/>
    <n v="0"/>
    <n v="8"/>
    <n v="0"/>
    <n v="8"/>
    <n v="8"/>
    <n v="70"/>
    <n v="80"/>
    <n v="10"/>
    <d v="1899-12-30T20:00:00"/>
    <d v="1899-12-30T05:00:00"/>
    <n v="9"/>
    <n v="282"/>
    <n v="1.125"/>
    <n v="0.39"/>
    <n v="0.13702267739575713"/>
    <n v="0"/>
    <n v="1.096181419166057"/>
    <n v="1.096181419166057"/>
    <n v="2.75"/>
    <n v="0.36"/>
    <n v="0.99"/>
    <n v="-0.10618141916605706"/>
    <n v="-0.10725395875359299"/>
    <n v="2.0238185808339431"/>
    <n v="3.12"/>
    <n v="0.99"/>
    <n v="1.096181419166057"/>
    <n v="-2.13"/>
    <n v="-0.10618141916605706"/>
    <n v="2.0238185808339431"/>
    <n v="7.056"/>
    <n v="2.88"/>
    <n v="0"/>
    <n v="7.1999999999999998E-3"/>
    <n v="3.5999999999999999E-3"/>
    <n v="7.1999999999999994E-4"/>
    <n v="3.5999999999999997E-4"/>
    <n v="1.4399999999999999E-3"/>
    <n v="27.295999999999999"/>
    <n v="3.193632"/>
    <n v="3.9306239999999995"/>
    <n v="128.2912"/>
    <n v="2.2928639999999999E-3"/>
    <n v="2.7296E-3"/>
    <n v="1.3648000000000002E-4"/>
    <n v="0"/>
    <n v="0"/>
  </r>
  <r>
    <x v="18"/>
    <n v="569"/>
    <n v="8"/>
    <n v="0"/>
    <n v="7"/>
    <n v="0"/>
    <n v="7"/>
    <n v="7"/>
    <n v="73"/>
    <n v="80"/>
    <n v="7"/>
    <d v="1899-12-30T20:00:00"/>
    <d v="1899-12-30T05:00:00"/>
    <n v="9"/>
    <n v="282"/>
    <n v="1.1428571428571428"/>
    <n v="0.39"/>
    <n v="0.13702267739575713"/>
    <n v="0"/>
    <n v="0.95915874177029992"/>
    <n v="0.95915874177029992"/>
    <n v="2.75"/>
    <n v="0.32"/>
    <n v="0.88"/>
    <n v="-7.9158741770299912E-2"/>
    <n v="-8.9953115648068085E-2"/>
    <n v="1.7708412582297002"/>
    <n v="2.73"/>
    <n v="0.88"/>
    <n v="0.95915874177029992"/>
    <n v="-1.85"/>
    <n v="-7.9158741770299912E-2"/>
    <n v="1.7708412582297002"/>
    <n v="6.2720000000000002"/>
    <n v="2.56"/>
    <n v="0"/>
    <n v="6.4000000000000003E-3"/>
    <n v="3.2000000000000002E-3"/>
    <n v="6.4000000000000005E-4"/>
    <n v="3.2000000000000003E-4"/>
    <n v="1.2800000000000001E-3"/>
    <n v="23.884"/>
    <n v="2.7944280000000004"/>
    <n v="3.4392959999999997"/>
    <n v="112.2548"/>
    <n v="2.0062560000000001E-3"/>
    <n v="2.3884000000000002E-3"/>
    <n v="1.1942000000000001E-4"/>
    <n v="0"/>
    <n v="0"/>
  </r>
  <r>
    <x v="19"/>
    <n v="594"/>
    <n v="25"/>
    <n v="0"/>
    <n v="7"/>
    <n v="0"/>
    <n v="7"/>
    <n v="7"/>
    <n v="71"/>
    <n v="80"/>
    <n v="9"/>
    <d v="1899-12-30T20:00:00"/>
    <d v="1899-12-30T05:00:00"/>
    <n v="9"/>
    <n v="282"/>
    <n v="3.5714285714285716"/>
    <n v="0.39"/>
    <n v="0.13702267739575713"/>
    <n v="0"/>
    <n v="0.95915874177029992"/>
    <n v="0.95915874177029992"/>
    <n v="2.75"/>
    <n v="1"/>
    <n v="2.75"/>
    <n v="1.7908412582297002"/>
    <n v="0.65121500299261825"/>
    <n v="1.7708412582297002"/>
    <n v="2.73"/>
    <n v="2.75"/>
    <n v="0.95915874177029992"/>
    <n v="2.0000000000000018E-2"/>
    <n v="1.7908412582297002"/>
    <n v="1.7708412582297002"/>
    <n v="19.600000000000001"/>
    <n v="8"/>
    <n v="0"/>
    <n v="0.02"/>
    <n v="0.01"/>
    <n v="2E-3"/>
    <n v="1E-3"/>
    <n v="4.0000000000000001E-3"/>
    <n v="23.884"/>
    <n v="2.7944280000000004"/>
    <n v="3.4392959999999997"/>
    <n v="112.2548"/>
    <n v="2.0062560000000001E-3"/>
    <n v="2.3884000000000002E-3"/>
    <n v="1.1942000000000001E-4"/>
    <n v="0"/>
    <n v="0"/>
  </r>
  <r>
    <x v="20"/>
    <n v="676"/>
    <n v="82"/>
    <n v="0"/>
    <n v="13"/>
    <n v="0"/>
    <n v="13"/>
    <n v="13"/>
    <n v="51"/>
    <n v="70"/>
    <n v="19"/>
    <d v="1899-12-30T20:00:00"/>
    <d v="1899-12-30T09:00:00"/>
    <n v="13"/>
    <n v="248"/>
    <n v="6.3076923076923075"/>
    <n v="0.39"/>
    <n v="0.13702267739575713"/>
    <n v="0"/>
    <n v="1.7812948061448428"/>
    <n v="1.7812948061448428"/>
    <n v="2.75"/>
    <n v="3.28"/>
    <n v="9.02"/>
    <n v="7.2387051938551572"/>
    <n v="0.80251720552717931"/>
    <n v="3.2887051938551575"/>
    <n v="5.07"/>
    <n v="9.02"/>
    <n v="1.7812948061448428"/>
    <n v="3.9499999999999993"/>
    <n v="7.2387051938551572"/>
    <n v="3.2887051938551575"/>
    <n v="64.287999999999997"/>
    <n v="26.24"/>
    <n v="0"/>
    <n v="6.5599999999999992E-2"/>
    <n v="3.2799999999999996E-2"/>
    <n v="6.5599999999999999E-3"/>
    <n v="3.2799999999999999E-3"/>
    <n v="1.312E-2"/>
    <n v="44.356000000000002"/>
    <n v="5.1896520000000006"/>
    <n v="6.3872640000000001"/>
    <n v="208.47320000000002"/>
    <n v="3.7259039999999999E-3"/>
    <n v="4.4356000000000005E-3"/>
    <n v="2.2178000000000003E-4"/>
    <n v="0"/>
    <n v="0"/>
  </r>
  <r>
    <x v="21"/>
    <n v="682"/>
    <n v="6"/>
    <n v="0"/>
    <n v="15"/>
    <n v="0"/>
    <n v="15"/>
    <n v="15"/>
    <n v="62"/>
    <n v="78"/>
    <n v="16"/>
    <d v="1899-12-30T21:00:00"/>
    <d v="1899-12-30T09:00:00"/>
    <n v="12"/>
    <n v="276"/>
    <n v="0.4"/>
    <n v="0.39"/>
    <n v="0.13702267739575713"/>
    <n v="0"/>
    <n v="2.0553401609363569"/>
    <n v="2.0553401609363569"/>
    <n v="2.75"/>
    <n v="0.24"/>
    <n v="0.65999999999999992"/>
    <n v="-1.3953401609363569"/>
    <n v="-2.1141517589944803"/>
    <n v="3.7946598390636437"/>
    <n v="5.8500000000000005"/>
    <n v="0.65999999999999992"/>
    <n v="2.0553401609363569"/>
    <n v="-5.19"/>
    <n v="-1.3953401609363569"/>
    <n v="3.7946598390636437"/>
    <n v="4.7039999999999997"/>
    <n v="1.92"/>
    <n v="0"/>
    <n v="4.7999999999999996E-3"/>
    <n v="2.3999999999999998E-3"/>
    <n v="4.8000000000000001E-4"/>
    <n v="2.4000000000000001E-4"/>
    <n v="9.6000000000000002E-4"/>
    <n v="51.18"/>
    <n v="5.9880599999999999"/>
    <n v="7.3699199999999996"/>
    <n v="240.54600000000002"/>
    <n v="4.29912E-3"/>
    <n v="5.1180000000000002E-3"/>
    <n v="2.5590000000000004E-4"/>
    <n v="0"/>
    <n v="0"/>
  </r>
  <r>
    <x v="22"/>
    <n v="693"/>
    <n v="11"/>
    <n v="0"/>
    <n v="15"/>
    <n v="0"/>
    <n v="15"/>
    <n v="15"/>
    <n v="66"/>
    <n v="80"/>
    <n v="14"/>
    <d v="1899-12-30T20:00:00"/>
    <d v="1899-12-30T05:26:00"/>
    <n v="9"/>
    <n v="282"/>
    <n v="0.73333333333333328"/>
    <n v="0.39"/>
    <n v="0.13702267739575713"/>
    <n v="0"/>
    <n v="2.0553401609363569"/>
    <n v="2.0553401609363569"/>
    <n v="2.79"/>
    <n v="0.44"/>
    <n v="1.2276"/>
    <n v="-0.82774016093635683"/>
    <n v="-0.67427513924434412"/>
    <n v="3.7946598390636437"/>
    <n v="5.8500000000000005"/>
    <n v="1.2276"/>
    <n v="2.0553401609363569"/>
    <n v="-4.6224000000000007"/>
    <n v="-0.82774016093635683"/>
    <n v="3.7946598390636437"/>
    <n v="8.6240000000000006"/>
    <n v="3.52"/>
    <n v="0"/>
    <n v="8.8000000000000005E-3"/>
    <n v="4.4000000000000003E-3"/>
    <n v="8.8000000000000003E-4"/>
    <n v="4.4000000000000002E-4"/>
    <n v="1.7600000000000001E-3"/>
    <n v="51.18"/>
    <n v="5.9880599999999999"/>
    <n v="7.3699199999999996"/>
    <n v="240.54600000000002"/>
    <n v="4.29912E-3"/>
    <n v="5.1180000000000002E-3"/>
    <n v="2.5590000000000004E-4"/>
    <n v="0"/>
    <n v="0"/>
  </r>
  <r>
    <x v="23"/>
    <n v="0"/>
    <n v="0"/>
    <n v="0"/>
    <n v="0"/>
    <n v="0"/>
    <n v="0"/>
    <n v="0"/>
    <n v="0"/>
    <n v="0"/>
    <n v="0"/>
    <m/>
    <m/>
    <n v="0"/>
    <n v="0"/>
    <n v="0"/>
    <n v="0"/>
    <n v="0.13702267739575713"/>
    <n v="0"/>
    <n v="0"/>
    <n v="0"/>
    <n v="0"/>
    <n v="0"/>
    <n v="0"/>
    <n v="0"/>
    <n v="0"/>
    <n v="0"/>
    <n v="0"/>
    <n v="0"/>
    <n v="0"/>
    <n v="0"/>
    <n v="0"/>
    <n v="0"/>
    <n v="0"/>
    <n v="0"/>
    <n v="0"/>
    <n v="0"/>
    <n v="0"/>
    <n v="0"/>
    <n v="0"/>
    <n v="0"/>
    <n v="0"/>
    <n v="0"/>
    <n v="0"/>
    <n v="0"/>
    <n v="0"/>
    <n v="0"/>
    <n v="0"/>
    <n v="0"/>
    <n v="0"/>
  </r>
  <r>
    <x v="24"/>
    <n v="756"/>
    <n v="63"/>
    <n v="0"/>
    <n v="0"/>
    <n v="9"/>
    <n v="9"/>
    <n v="9"/>
    <n v="68"/>
    <n v="80"/>
    <n v="12"/>
    <d v="1899-12-30T01:00:00"/>
    <d v="1899-12-30T02:45:00"/>
    <n v="1.75"/>
    <n v="282"/>
    <n v="7"/>
    <n v="0.39"/>
    <n v="0.13702267739575713"/>
    <n v="0"/>
    <n v="1.2332040965618143"/>
    <n v="1.2332040965618143"/>
    <n v="2.79"/>
    <n v="2.52"/>
    <n v="7.0308000000000002"/>
    <n v="5.7975959034381859"/>
    <n v="0.82459974731725916"/>
    <n v="2.2767959034381859"/>
    <n v="3.5100000000000002"/>
    <n v="7.0308000000000002"/>
    <n v="1.2332040965618143"/>
    <n v="3.5207999999999999"/>
    <n v="5.7975959034381859"/>
    <n v="2.2767959034381859"/>
    <n v="49.392000000000003"/>
    <n v="20.16"/>
    <n v="0"/>
    <n v="5.04E-2"/>
    <n v="2.52E-2"/>
    <n v="5.0400000000000002E-3"/>
    <n v="2.5200000000000001E-3"/>
    <n v="1.008E-2"/>
    <n v="30.707999999999998"/>
    <n v="3.5928360000000001"/>
    <n v="4.4219519999999992"/>
    <n v="144.32759999999999"/>
    <n v="2.5794719999999998E-3"/>
    <n v="3.0707999999999998E-3"/>
    <n v="1.5354E-4"/>
    <n v="0"/>
    <n v="0"/>
  </r>
  <r>
    <x v="25"/>
    <n v="0"/>
    <n v="0"/>
    <n v="0"/>
    <n v="0"/>
    <n v="0"/>
    <n v="0"/>
    <n v="0"/>
    <n v="0"/>
    <n v="0"/>
    <n v="0"/>
    <m/>
    <m/>
    <n v="0"/>
    <n v="0"/>
    <n v="0"/>
    <n v="0"/>
    <n v="0.13702267739575713"/>
    <n v="0"/>
    <n v="0"/>
    <n v="0"/>
    <n v="0"/>
    <n v="0"/>
    <n v="0"/>
    <n v="0"/>
    <n v="0"/>
    <n v="0"/>
    <n v="0"/>
    <n v="0"/>
    <n v="0"/>
    <n v="0"/>
    <n v="0"/>
    <n v="0"/>
    <n v="0"/>
    <n v="0"/>
    <n v="0"/>
    <n v="0"/>
    <n v="0"/>
    <n v="0"/>
    <n v="0"/>
    <n v="0"/>
    <n v="0"/>
    <n v="0"/>
    <n v="0"/>
    <n v="0"/>
    <n v="0"/>
    <n v="0"/>
    <n v="0"/>
    <n v="0"/>
    <n v="0"/>
  </r>
  <r>
    <x v="26"/>
    <n v="876"/>
    <n v="120"/>
    <n v="0"/>
    <n v="0"/>
    <n v="32"/>
    <n v="32"/>
    <n v="32"/>
    <n v="44"/>
    <n v="80"/>
    <n v="36"/>
    <d v="1899-12-30T19:30:00"/>
    <d v="1899-12-30T00:48:00"/>
    <n v="5.8"/>
    <n v="282"/>
    <n v="3.75"/>
    <n v="0.39"/>
    <n v="0.13702267739575713"/>
    <n v="0"/>
    <n v="4.3847256766642282"/>
    <n v="4.3847256766642282"/>
    <n v="2.79"/>
    <n v="4.8"/>
    <n v="13.391999999999999"/>
    <n v="9.0072743233357713"/>
    <n v="0.67258619499221717"/>
    <n v="8.0952743233357722"/>
    <n v="12.48"/>
    <n v="13.391999999999999"/>
    <n v="4.3847256766642282"/>
    <n v="0.91199999999999903"/>
    <n v="9.0072743233357713"/>
    <n v="8.0952743233357722"/>
    <n v="94.08"/>
    <n v="38.4"/>
    <n v="0"/>
    <n v="9.6000000000000002E-2"/>
    <n v="4.8000000000000001E-2"/>
    <n v="9.5999999999999992E-3"/>
    <n v="4.7999999999999996E-3"/>
    <n v="1.9199999999999998E-2"/>
    <n v="109.184"/>
    <n v="12.774528"/>
    <n v="15.722495999999998"/>
    <n v="513.16480000000001"/>
    <n v="9.1714559999999997E-3"/>
    <n v="1.09184E-2"/>
    <n v="5.4592000000000009E-4"/>
    <n v="0"/>
    <n v="0"/>
  </r>
  <r>
    <x v="27"/>
    <n v="0"/>
    <n v="0"/>
    <n v="0"/>
    <n v="0"/>
    <n v="0"/>
    <n v="0"/>
    <n v="0"/>
    <n v="0"/>
    <n v="0"/>
    <n v="0"/>
    <m/>
    <m/>
    <n v="0"/>
    <n v="0"/>
    <n v="0"/>
    <n v="0"/>
    <n v="0.13702267739575713"/>
    <n v="0"/>
    <n v="0"/>
    <n v="0"/>
    <n v="0"/>
    <n v="0"/>
    <n v="0"/>
    <n v="0"/>
    <n v="0"/>
    <n v="0"/>
    <n v="0"/>
    <n v="0"/>
    <n v="0"/>
    <n v="0"/>
    <n v="0"/>
    <n v="0"/>
    <n v="0"/>
    <n v="0"/>
    <n v="0"/>
    <n v="0"/>
    <n v="0"/>
    <n v="0"/>
    <n v="0"/>
    <n v="0"/>
    <n v="0"/>
    <n v="0"/>
    <n v="0"/>
    <n v="0"/>
    <n v="0"/>
    <n v="0"/>
    <n v="0"/>
    <n v="0"/>
    <n v="0"/>
  </r>
  <r>
    <x v="28"/>
    <n v="883"/>
    <n v="7"/>
    <n v="0"/>
    <n v="0"/>
    <n v="8"/>
    <n v="8"/>
    <n v="8"/>
    <n v="75"/>
    <n v="80"/>
    <n v="5"/>
    <d v="1899-12-30T01:00:00"/>
    <d v="1899-12-30T01:47:00"/>
    <n v="0.75"/>
    <n v="282"/>
    <n v="0.875"/>
    <n v="0.39"/>
    <n v="0.13702267739575713"/>
    <n v="0"/>
    <n v="1.096181419166057"/>
    <n v="1.096181419166057"/>
    <n v="2.79"/>
    <n v="0.28000000000000003"/>
    <n v="0.78120000000000012"/>
    <n v="-0.31498141916605693"/>
    <n v="-0.40320202146192635"/>
    <n v="2.0238185808339431"/>
    <n v="3.12"/>
    <n v="0.78120000000000012"/>
    <n v="1.096181419166057"/>
    <n v="-2.3388"/>
    <n v="-0.31498141916605693"/>
    <n v="2.0238185808339431"/>
    <n v="5.4880000000000013"/>
    <n v="2.2400000000000002"/>
    <n v="0"/>
    <n v="5.6000000000000008E-3"/>
    <n v="2.8000000000000004E-3"/>
    <n v="5.6000000000000006E-4"/>
    <n v="2.8000000000000003E-4"/>
    <n v="1.1200000000000001E-3"/>
    <n v="27.295999999999999"/>
    <n v="3.193632"/>
    <n v="3.9306239999999995"/>
    <n v="128.2912"/>
    <n v="2.2928639999999999E-3"/>
    <n v="2.7296E-3"/>
    <n v="1.3648000000000002E-4"/>
    <n v="0"/>
    <n v="0"/>
  </r>
  <r>
    <x v="29"/>
    <n v="966"/>
    <n v="83"/>
    <n v="0"/>
    <n v="0"/>
    <n v="23"/>
    <n v="23"/>
    <n v="23"/>
    <n v="50"/>
    <n v="80"/>
    <n v="30"/>
    <d v="1899-12-30T01:00:00"/>
    <d v="1899-12-30T05:21:00"/>
    <n v="4.3"/>
    <n v="282"/>
    <n v="3.6086956521739131"/>
    <n v="0.39"/>
    <n v="0.13702267739575713"/>
    <n v="0"/>
    <n v="3.1515215801024139"/>
    <n v="3.1515215801024139"/>
    <n v="2.79"/>
    <n v="3.32"/>
    <n v="9.2628000000000004"/>
    <n v="6.1112784198975865"/>
    <n v="0.65976577491661115"/>
    <n v="5.8184784198975867"/>
    <n v="8.9700000000000006"/>
    <n v="9.2628000000000004"/>
    <n v="3.1515215801024139"/>
    <n v="0.29279999999999973"/>
    <n v="6.1112784198975865"/>
    <n v="5.8184784198975867"/>
    <n v="65.072000000000003"/>
    <n v="26.56"/>
    <n v="0"/>
    <n v="6.6400000000000001E-2"/>
    <n v="3.32E-2"/>
    <n v="6.6400000000000001E-3"/>
    <n v="3.32E-3"/>
    <n v="1.328E-2"/>
    <n v="78.475999999999999"/>
    <n v="9.181692"/>
    <n v="11.300543999999999"/>
    <n v="368.8372"/>
    <n v="6.5919839999999995E-3"/>
    <n v="7.8475999999999997E-3"/>
    <n v="3.9238000000000001E-4"/>
    <n v="0"/>
    <n v="0"/>
  </r>
  <r>
    <x v="30"/>
    <n v="0"/>
    <n v="0"/>
    <n v="0"/>
    <n v="0"/>
    <n v="0"/>
    <n v="0"/>
    <n v="0"/>
    <n v="0"/>
    <n v="0"/>
    <n v="0"/>
    <m/>
    <m/>
    <n v="0"/>
    <n v="0"/>
    <n v="0"/>
    <n v="0"/>
    <n v="0.13702267739575713"/>
    <n v="0"/>
    <n v="0"/>
    <n v="0"/>
    <n v="0"/>
    <n v="0"/>
    <n v="0"/>
    <n v="0"/>
    <n v="0"/>
    <n v="0"/>
    <n v="0"/>
    <n v="0"/>
    <n v="0"/>
    <n v="0"/>
    <n v="0"/>
    <n v="0"/>
    <n v="0"/>
    <n v="0"/>
    <n v="0"/>
    <n v="0"/>
    <n v="0"/>
    <n v="0"/>
    <n v="0"/>
    <n v="0"/>
    <n v="0"/>
    <n v="0"/>
    <n v="0"/>
    <n v="0"/>
    <n v="0"/>
    <n v="0"/>
    <n v="0"/>
    <n v="0"/>
    <n v="0"/>
  </r>
  <r>
    <x v="31"/>
    <n v="0"/>
    <n v="0"/>
    <n v="0"/>
    <n v="0"/>
    <n v="0"/>
    <n v="0"/>
    <n v="0"/>
    <n v="0"/>
    <n v="0"/>
    <n v="0"/>
    <m/>
    <m/>
    <n v="0"/>
    <n v="0"/>
    <n v="0"/>
    <n v="0"/>
    <n v="0.13702267739575713"/>
    <n v="0"/>
    <n v="0"/>
    <n v="0"/>
    <n v="0"/>
    <n v="0"/>
    <n v="0"/>
    <n v="0"/>
    <n v="0"/>
    <n v="0"/>
    <n v="0"/>
    <n v="0"/>
    <n v="0"/>
    <n v="0"/>
    <n v="0"/>
    <n v="0"/>
    <n v="0"/>
    <n v="0"/>
    <n v="0"/>
    <n v="0"/>
    <n v="0"/>
    <n v="0"/>
    <n v="0"/>
    <n v="0"/>
    <n v="0"/>
    <n v="0"/>
    <n v="0"/>
    <n v="0"/>
    <n v="0"/>
    <n v="0"/>
    <n v="0"/>
    <n v="0"/>
    <n v="0"/>
  </r>
  <r>
    <x v="32"/>
    <n v="0"/>
    <n v="0"/>
    <n v="0"/>
    <n v="0"/>
    <n v="0"/>
    <n v="0"/>
    <n v="0"/>
    <n v="0"/>
    <n v="0"/>
    <n v="0"/>
    <m/>
    <m/>
    <n v="0"/>
    <n v="0"/>
    <n v="0"/>
    <n v="0"/>
    <n v="0.13702267739575713"/>
    <n v="0"/>
    <n v="0"/>
    <n v="0"/>
    <n v="0"/>
    <n v="0"/>
    <n v="0"/>
    <n v="0"/>
    <n v="0"/>
    <n v="0"/>
    <n v="0"/>
    <n v="0"/>
    <n v="0"/>
    <n v="0"/>
    <n v="0"/>
    <n v="0"/>
    <n v="0"/>
    <n v="0"/>
    <n v="0"/>
    <n v="0"/>
    <n v="0"/>
    <n v="0"/>
    <n v="0"/>
    <n v="0"/>
    <n v="0"/>
    <n v="0"/>
    <n v="0"/>
    <n v="0"/>
    <n v="0"/>
    <n v="0"/>
    <n v="0"/>
    <n v="0"/>
    <n v="0"/>
  </r>
  <r>
    <x v="33"/>
    <n v="979"/>
    <n v="13"/>
    <n v="0"/>
    <n v="0"/>
    <n v="6"/>
    <n v="6"/>
    <n v="6"/>
    <n v="72"/>
    <n v="80"/>
    <n v="8"/>
    <d v="1899-12-30T01:00:00"/>
    <d v="1899-12-30T02:14:00"/>
    <n v="1.25"/>
    <n v="280"/>
    <n v="2.1666666666666665"/>
    <n v="0.39"/>
    <n v="0.13702267739575713"/>
    <n v="0"/>
    <n v="0.82213606437454279"/>
    <n v="0.82213606437454279"/>
    <n v="2.79"/>
    <n v="0.52"/>
    <n v="1.4508000000000001"/>
    <n v="0.6286639356254573"/>
    <n v="0.43332226056345274"/>
    <n v="1.5178639356254571"/>
    <n v="2.34"/>
    <n v="1.4508000000000001"/>
    <n v="0.82213606437454279"/>
    <n v="-0.88919999999999977"/>
    <n v="0.6286639356254573"/>
    <n v="1.5178639356254571"/>
    <n v="10.192000000000002"/>
    <n v="4.16"/>
    <n v="0"/>
    <n v="1.0400000000000001E-2"/>
    <n v="5.2000000000000006E-3"/>
    <n v="1.0400000000000001E-3"/>
    <n v="5.2000000000000006E-4"/>
    <n v="2.0800000000000003E-3"/>
    <n v="20.472000000000001"/>
    <n v="2.3952240000000002"/>
    <n v="2.9479679999999999"/>
    <n v="96.218400000000017"/>
    <n v="1.7196480000000001E-3"/>
    <n v="2.0472000000000003E-3"/>
    <n v="1.0236000000000002E-4"/>
    <n v="0"/>
    <n v="0"/>
  </r>
  <r>
    <x v="34"/>
    <n v="1014"/>
    <n v="35"/>
    <n v="0"/>
    <n v="0"/>
    <n v="27"/>
    <n v="27"/>
    <n v="27"/>
    <n v="64"/>
    <n v="100"/>
    <n v="36"/>
    <d v="1899-12-30T01:00:00"/>
    <d v="1899-12-30T06:28:00"/>
    <n v="5.5"/>
    <n v="353"/>
    <n v="1.2962962962962963"/>
    <n v="0.4"/>
    <n v="0.13702267739575713"/>
    <n v="0"/>
    <n v="3.6996122896854424"/>
    <n v="3.6996122896854424"/>
    <n v="2.79"/>
    <n v="1.4"/>
    <n v="3.9059999999999997"/>
    <n v="0.20638771031455727"/>
    <n v="5.2838635513199513E-2"/>
    <n v="7.1003877103145587"/>
    <n v="10.8"/>
    <n v="3.9059999999999997"/>
    <n v="3.6996122896854424"/>
    <n v="-6.894000000000001"/>
    <n v="0.20638771031455727"/>
    <n v="7.1003877103145587"/>
    <n v="27.44"/>
    <n v="11.2"/>
    <n v="0"/>
    <n v="2.7999999999999997E-2"/>
    <n v="1.3999999999999999E-2"/>
    <n v="2.8E-3"/>
    <n v="1.4E-3"/>
    <n v="5.5999999999999999E-3"/>
    <n v="92.123999999999995"/>
    <n v="10.778508"/>
    <n v="13.265855999999998"/>
    <n v="432.9828"/>
    <n v="7.7384159999999988E-3"/>
    <n v="9.2124000000000008E-3"/>
    <n v="4.6062000000000002E-4"/>
    <n v="0"/>
    <n v="0"/>
  </r>
  <r>
    <x v="35"/>
    <n v="1264"/>
    <n v="250"/>
    <n v="18"/>
    <n v="0"/>
    <n v="29"/>
    <n v="29"/>
    <n v="47"/>
    <n v="43"/>
    <n v="80"/>
    <n v="37"/>
    <d v="1899-12-30T01:00:00"/>
    <d v="1899-12-30T06:25:00"/>
    <n v="5.5"/>
    <n v="280"/>
    <n v="5.3191489361702127"/>
    <n v="0.4"/>
    <n v="0.13702267739575713"/>
    <n v="7.2"/>
    <n v="3.9736576444769569"/>
    <n v="11.173657644476958"/>
    <n v="2.79"/>
    <n v="10"/>
    <n v="27.9"/>
    <n v="16.726342355523041"/>
    <n v="0.59951047869258212"/>
    <n v="7.626342355523045"/>
    <n v="18.8"/>
    <n v="27.9"/>
    <n v="6.440065837600585"/>
    <n v="9.0999999999999979"/>
    <n v="21.459934162399414"/>
    <n v="12.359934162399416"/>
    <n v="196"/>
    <n v="80"/>
    <n v="0"/>
    <n v="0.2"/>
    <n v="0.1"/>
    <n v="0.02"/>
    <n v="0.01"/>
    <n v="0.04"/>
    <n v="160.364"/>
    <n v="18.762588000000001"/>
    <n v="23.092416"/>
    <n v="753.71080000000006"/>
    <n v="1.3470576E-2"/>
    <n v="1.6036400000000003E-2"/>
    <n v="8.0182000000000007E-4"/>
    <n v="0"/>
    <n v="0"/>
  </r>
  <r>
    <x v="36"/>
    <n v="1313"/>
    <n v="49"/>
    <n v="0"/>
    <n v="0"/>
    <n v="13"/>
    <n v="13"/>
    <n v="13"/>
    <n v="63"/>
    <n v="80"/>
    <n v="17"/>
    <d v="1899-12-30T01:00:00"/>
    <d v="1899-12-30T03:27:00"/>
    <n v="2.5"/>
    <n v="280"/>
    <n v="3.7692307692307692"/>
    <n v="0.4"/>
    <n v="0.13702267739575713"/>
    <n v="0"/>
    <n v="1.7812948061448428"/>
    <n v="1.7812948061448428"/>
    <n v="2.7"/>
    <n v="1.96"/>
    <n v="5.2919999999999998"/>
    <n v="3.510705193855157"/>
    <n v="0.66339856270883546"/>
    <n v="3.4187051938551574"/>
    <n v="5.2"/>
    <n v="5.2919999999999998"/>
    <n v="1.7812948061448428"/>
    <n v="9.1999999999999638E-2"/>
    <n v="3.510705193855157"/>
    <n v="3.4187051938551574"/>
    <n v="38.416000000000004"/>
    <n v="15.68"/>
    <n v="0"/>
    <n v="3.9199999999999999E-2"/>
    <n v="1.9599999999999999E-2"/>
    <n v="3.9199999999999999E-3"/>
    <n v="1.9599999999999999E-3"/>
    <n v="7.8399999999999997E-3"/>
    <n v="44.356000000000002"/>
    <n v="5.1896520000000006"/>
    <n v="6.3872640000000001"/>
    <n v="208.47320000000002"/>
    <n v="3.7259039999999999E-3"/>
    <n v="4.4356000000000005E-3"/>
    <n v="2.2178000000000003E-4"/>
    <n v="0"/>
    <n v="0"/>
  </r>
  <r>
    <x v="37"/>
    <n v="0"/>
    <n v="0"/>
    <n v="0"/>
    <n v="0"/>
    <n v="0"/>
    <n v="0"/>
    <n v="0"/>
    <n v="0"/>
    <n v="0"/>
    <n v="0"/>
    <m/>
    <m/>
    <n v="0"/>
    <n v="0"/>
    <n v="0"/>
    <n v="0"/>
    <n v="0.13702267739575713"/>
    <n v="0"/>
    <n v="0"/>
    <n v="0"/>
    <n v="0"/>
    <n v="0"/>
    <n v="0"/>
    <n v="0"/>
    <n v="0"/>
    <n v="0"/>
    <n v="0"/>
    <n v="0"/>
    <n v="0"/>
    <n v="0"/>
    <n v="0"/>
    <n v="0"/>
    <n v="0"/>
    <n v="0"/>
    <n v="0"/>
    <n v="0"/>
    <n v="0"/>
    <n v="0"/>
    <n v="0"/>
    <n v="0"/>
    <n v="0"/>
    <n v="0"/>
    <n v="0"/>
    <n v="0"/>
    <n v="0"/>
    <n v="0"/>
    <n v="0"/>
    <n v="0"/>
    <n v="0"/>
  </r>
  <r>
    <x v="38"/>
    <n v="1362"/>
    <n v="49"/>
    <n v="0"/>
    <n v="0"/>
    <n v="14"/>
    <n v="14"/>
    <n v="14"/>
    <n v="62"/>
    <n v="80"/>
    <n v="18"/>
    <d v="1899-12-30T01:00:00"/>
    <d v="1899-12-30T04:00:00"/>
    <n v="3"/>
    <n v="280"/>
    <n v="3.5"/>
    <n v="0.4"/>
    <n v="0.13702267739575713"/>
    <n v="0"/>
    <n v="1.9183174835405998"/>
    <n v="1.9183174835405998"/>
    <n v="2.7"/>
    <n v="1.96"/>
    <n v="5.2919999999999998"/>
    <n v="3.3736825164594002"/>
    <n v="0.637506144455669"/>
    <n v="3.6816825164594009"/>
    <n v="5.6000000000000005"/>
    <n v="5.2919999999999998"/>
    <n v="1.9183174835405998"/>
    <n v="-0.30800000000000072"/>
    <n v="3.3736825164594002"/>
    <n v="3.6816825164594009"/>
    <n v="38.416000000000004"/>
    <n v="15.68"/>
    <n v="0"/>
    <n v="3.9199999999999999E-2"/>
    <n v="1.9599999999999999E-2"/>
    <n v="3.9199999999999999E-3"/>
    <n v="1.9599999999999999E-3"/>
    <n v="7.8399999999999997E-3"/>
    <n v="47.768000000000001"/>
    <n v="5.5888560000000007"/>
    <n v="6.8785919999999994"/>
    <n v="224.50960000000001"/>
    <n v="4.0125120000000002E-3"/>
    <n v="4.7768000000000003E-3"/>
    <n v="2.3884000000000001E-4"/>
    <n v="0"/>
    <n v="0"/>
  </r>
  <r>
    <x v="39"/>
    <n v="1431"/>
    <n v="69"/>
    <n v="0"/>
    <n v="0"/>
    <n v="19"/>
    <n v="19"/>
    <n v="19"/>
    <n v="56"/>
    <n v="80"/>
    <n v="24"/>
    <d v="1899-12-30T01:00:00"/>
    <d v="1899-12-30T04:25:00"/>
    <n v="3.5"/>
    <n v="280"/>
    <n v="3.6315789473684212"/>
    <n v="0.4"/>
    <n v="0.13702267739575713"/>
    <n v="0"/>
    <n v="2.6034308705193854"/>
    <n v="2.6034308705193854"/>
    <n v="2.7"/>
    <n v="2.76"/>
    <n v="7.452"/>
    <n v="4.8485691294806141"/>
    <n v="0.65063997980147803"/>
    <n v="4.9965691294806156"/>
    <n v="7.6000000000000005"/>
    <n v="7.452"/>
    <n v="2.6034308705193854"/>
    <n v="-0.14800000000000058"/>
    <n v="4.8485691294806141"/>
    <n v="4.9965691294806156"/>
    <n v="54.095999999999997"/>
    <n v="22.08"/>
    <n v="0"/>
    <n v="5.5199999999999999E-2"/>
    <n v="2.76E-2"/>
    <n v="5.5199999999999997E-3"/>
    <n v="2.7599999999999999E-3"/>
    <n v="1.1039999999999999E-2"/>
    <n v="64.828000000000003"/>
    <n v="7.5848760000000004"/>
    <n v="9.3352319999999995"/>
    <n v="304.69160000000005"/>
    <n v="5.4455520000000002E-3"/>
    <n v="6.4828000000000004E-3"/>
    <n v="3.2414000000000005E-4"/>
    <n v="0"/>
    <n v="0"/>
  </r>
  <r>
    <x v="40"/>
    <n v="1499"/>
    <n v="68"/>
    <n v="0"/>
    <n v="0"/>
    <n v="18"/>
    <n v="18"/>
    <n v="18"/>
    <n v="57"/>
    <n v="80"/>
    <n v="23"/>
    <d v="1899-12-30T01:00:00"/>
    <d v="1899-12-30T04:25:00"/>
    <n v="3.5"/>
    <n v="280"/>
    <n v="3.7777777777777777"/>
    <n v="0.4"/>
    <n v="0.13702267739575713"/>
    <n v="0"/>
    <n v="2.4664081931236286"/>
    <n v="2.4664081931236286"/>
    <n v="2.7"/>
    <n v="2.72"/>
    <n v="7.3440000000000012"/>
    <n v="4.8775918068763726"/>
    <n v="0.66416010442216389"/>
    <n v="4.7335918068763716"/>
    <n v="7.2"/>
    <n v="7.3440000000000012"/>
    <n v="2.4664081931236286"/>
    <n v="0.14400000000000102"/>
    <n v="4.8775918068763726"/>
    <n v="4.7335918068763716"/>
    <n v="53.312000000000005"/>
    <n v="21.76"/>
    <n v="0"/>
    <n v="5.4400000000000004E-2"/>
    <n v="2.7200000000000002E-2"/>
    <n v="5.4400000000000004E-3"/>
    <n v="2.7200000000000002E-3"/>
    <n v="1.0880000000000001E-2"/>
    <n v="61.415999999999997"/>
    <n v="7.1856720000000003"/>
    <n v="8.8439039999999984"/>
    <n v="288.65519999999998"/>
    <n v="5.1589439999999995E-3"/>
    <n v="6.1415999999999997E-3"/>
    <n v="3.0707999999999999E-4"/>
    <n v="0"/>
    <n v="0"/>
  </r>
  <r>
    <x v="41"/>
    <n v="0"/>
    <n v="0"/>
    <n v="0"/>
    <n v="0"/>
    <n v="0"/>
    <n v="0"/>
    <n v="0"/>
    <n v="0"/>
    <n v="0"/>
    <n v="0"/>
    <d v="1899-12-30T00:00:00"/>
    <d v="1899-12-30T00:00:00"/>
    <n v="0"/>
    <n v="0"/>
    <n v="0"/>
    <n v="0"/>
    <n v="0.13702267739575713"/>
    <n v="0"/>
    <n v="0"/>
    <n v="0"/>
    <n v="0"/>
    <n v="0"/>
    <n v="0"/>
    <n v="0"/>
    <n v="0"/>
    <n v="0"/>
    <n v="0"/>
    <n v="0"/>
    <n v="0"/>
    <n v="0"/>
    <n v="0"/>
    <n v="0"/>
    <n v="0"/>
    <n v="0"/>
    <n v="0"/>
    <n v="0"/>
    <n v="0"/>
    <n v="0"/>
    <n v="0"/>
    <n v="0"/>
    <n v="0"/>
    <n v="0"/>
    <n v="0"/>
    <n v="0"/>
    <n v="0"/>
    <n v="0"/>
    <n v="0"/>
    <n v="0"/>
    <n v="0"/>
  </r>
  <r>
    <x v="42"/>
    <n v="0"/>
    <n v="0"/>
    <n v="0"/>
    <n v="0"/>
    <n v="0"/>
    <n v="0"/>
    <n v="0"/>
    <n v="0"/>
    <n v="0"/>
    <n v="0"/>
    <m/>
    <m/>
    <n v="0"/>
    <n v="0"/>
    <n v="0"/>
    <n v="0"/>
    <n v="0.13702267739575713"/>
    <n v="0"/>
    <n v="0"/>
    <n v="0"/>
    <n v="0"/>
    <n v="0"/>
    <n v="0"/>
    <n v="0"/>
    <n v="0"/>
    <n v="0"/>
    <n v="0"/>
    <n v="0"/>
    <n v="0"/>
    <n v="0"/>
    <n v="0"/>
    <n v="0"/>
    <n v="0"/>
    <n v="0"/>
    <n v="0"/>
    <n v="0"/>
    <n v="0"/>
    <n v="0"/>
    <n v="0"/>
    <n v="0"/>
    <n v="0"/>
    <n v="0"/>
    <n v="0"/>
    <n v="0"/>
    <n v="0"/>
    <n v="0"/>
    <n v="0"/>
    <n v="0"/>
    <n v="0"/>
  </r>
  <r>
    <x v="43"/>
    <n v="0"/>
    <n v="0"/>
    <n v="0"/>
    <n v="0"/>
    <n v="0"/>
    <n v="0"/>
    <n v="0"/>
    <n v="0"/>
    <n v="0"/>
    <n v="0"/>
    <m/>
    <m/>
    <n v="0"/>
    <n v="0"/>
    <n v="0"/>
    <n v="0"/>
    <n v="0.13702267739575713"/>
    <n v="0"/>
    <n v="0"/>
    <n v="0"/>
    <n v="0"/>
    <n v="0"/>
    <n v="0"/>
    <n v="0"/>
    <n v="0"/>
    <n v="0"/>
    <n v="0"/>
    <n v="0"/>
    <n v="0"/>
    <n v="0"/>
    <n v="0"/>
    <n v="0"/>
    <n v="0"/>
    <n v="0"/>
    <n v="0"/>
    <n v="0"/>
    <n v="0"/>
    <n v="0"/>
    <n v="0"/>
    <n v="0"/>
    <n v="0"/>
    <n v="0"/>
    <n v="0"/>
    <n v="0"/>
    <n v="0"/>
    <n v="0"/>
    <n v="0"/>
    <n v="0"/>
    <n v="0"/>
  </r>
  <r>
    <x v="44"/>
    <n v="1537"/>
    <n v="38"/>
    <n v="0"/>
    <n v="0"/>
    <n v="11"/>
    <n v="11"/>
    <n v="11"/>
    <n v="66"/>
    <n v="80"/>
    <n v="14"/>
    <d v="1899-12-30T01:00:00"/>
    <d v="1899-12-30T03:04:00"/>
    <n v="2"/>
    <n v="280"/>
    <n v="3.4545454545454546"/>
    <n v="0.4"/>
    <n v="0.13702267739575713"/>
    <n v="0"/>
    <n v="1.5072494513533283"/>
    <n v="1.5072494513533283"/>
    <n v="2.7"/>
    <n v="1.52"/>
    <n v="4.1040000000000001"/>
    <n v="2.5967505486466718"/>
    <n v="0.63273648846166464"/>
    <n v="2.892750548646672"/>
    <n v="4.4000000000000004"/>
    <n v="4.1040000000000001"/>
    <n v="1.5072494513533283"/>
    <n v="-0.29600000000000026"/>
    <n v="2.5967505486466718"/>
    <n v="2.892750548646672"/>
    <n v="29.792000000000002"/>
    <n v="12.16"/>
    <n v="0"/>
    <n v="3.04E-2"/>
    <n v="1.52E-2"/>
    <n v="3.0400000000000002E-3"/>
    <n v="1.5200000000000001E-3"/>
    <n v="6.0800000000000003E-3"/>
    <n v="37.531999999999996"/>
    <n v="4.3912439999999995"/>
    <n v="5.4046079999999987"/>
    <n v="176.40039999999999"/>
    <n v="3.1526879999999994E-3"/>
    <n v="3.7531999999999999E-3"/>
    <n v="1.8766E-4"/>
    <n v="0"/>
    <n v="0"/>
  </r>
  <r>
    <x v="45"/>
    <n v="0"/>
    <n v="0"/>
    <n v="0"/>
    <n v="0"/>
    <n v="0"/>
    <n v="0"/>
    <n v="0"/>
    <n v="0"/>
    <n v="0"/>
    <n v="0"/>
    <m/>
    <m/>
    <n v="0"/>
    <n v="0"/>
    <n v="0"/>
    <n v="0"/>
    <n v="0.13702267739575713"/>
    <n v="0"/>
    <n v="0"/>
    <n v="0"/>
    <n v="0"/>
    <n v="0"/>
    <n v="0"/>
    <n v="0"/>
    <n v="0"/>
    <n v="0"/>
    <n v="0"/>
    <n v="0"/>
    <n v="0"/>
    <n v="0"/>
    <n v="0"/>
    <n v="0"/>
    <n v="0"/>
    <n v="0"/>
    <n v="0"/>
    <n v="0"/>
    <n v="0"/>
    <n v="0"/>
    <n v="0"/>
    <n v="0"/>
    <n v="0"/>
    <n v="0"/>
    <n v="0"/>
    <n v="0"/>
    <n v="0"/>
    <n v="0"/>
    <n v="0"/>
    <n v="0"/>
    <n v="0"/>
  </r>
  <r>
    <x v="46"/>
    <n v="0"/>
    <n v="0"/>
    <n v="0"/>
    <n v="0"/>
    <n v="0"/>
    <n v="0"/>
    <n v="0"/>
    <n v="0"/>
    <n v="0"/>
    <n v="0"/>
    <m/>
    <m/>
    <n v="0"/>
    <n v="0"/>
    <n v="0"/>
    <n v="0"/>
    <n v="0.13702267739575713"/>
    <n v="0"/>
    <n v="0"/>
    <n v="0"/>
    <n v="0"/>
    <n v="0"/>
    <n v="0"/>
    <n v="0"/>
    <n v="0"/>
    <n v="0"/>
    <n v="0"/>
    <n v="0"/>
    <n v="0"/>
    <n v="0"/>
    <n v="0"/>
    <n v="0"/>
    <n v="0"/>
    <n v="0"/>
    <n v="0"/>
    <n v="0"/>
    <n v="0"/>
    <n v="0"/>
    <n v="0"/>
    <n v="0"/>
    <n v="0"/>
    <n v="0"/>
    <n v="0"/>
    <n v="0"/>
    <n v="0"/>
    <n v="0"/>
    <n v="0"/>
    <n v="0"/>
    <n v="0"/>
  </r>
  <r>
    <x v="47"/>
    <n v="1637"/>
    <n v="100"/>
    <n v="0"/>
    <n v="0"/>
    <n v="23"/>
    <n v="23"/>
    <n v="23"/>
    <n v="50"/>
    <n v="80"/>
    <n v="30"/>
    <d v="1899-12-30T01:00:00"/>
    <d v="1899-12-30T05:20:00"/>
    <n v="4.25"/>
    <n v="279"/>
    <n v="4.3478260869565215"/>
    <n v="0.4"/>
    <n v="0.13702267739575713"/>
    <n v="0"/>
    <n v="3.1515215801024139"/>
    <n v="3.1515215801024139"/>
    <n v="2.7"/>
    <n v="4"/>
    <n v="10.8"/>
    <n v="7.6484784198975868"/>
    <n v="0.70819244628681355"/>
    <n v="6.0484784198975872"/>
    <n v="9.2000000000000011"/>
    <n v="10.8"/>
    <n v="3.1515215801024139"/>
    <n v="1.5999999999999996"/>
    <n v="7.6484784198975868"/>
    <n v="6.0484784198975872"/>
    <n v="78.400000000000006"/>
    <n v="32"/>
    <n v="0"/>
    <n v="0.08"/>
    <n v="0.04"/>
    <n v="8.0000000000000002E-3"/>
    <n v="4.0000000000000001E-3"/>
    <n v="1.6E-2"/>
    <n v="78.475999999999999"/>
    <n v="9.181692"/>
    <n v="11.300543999999999"/>
    <n v="368.8372"/>
    <n v="6.5919839999999995E-3"/>
    <n v="7.8475999999999997E-3"/>
    <n v="3.9238000000000001E-4"/>
    <n v="0"/>
    <n v="0"/>
  </r>
  <r>
    <x v="48"/>
    <n v="1655"/>
    <n v="18"/>
    <n v="0"/>
    <n v="0"/>
    <n v="7"/>
    <n v="7"/>
    <n v="7"/>
    <n v="71"/>
    <n v="80"/>
    <n v="9"/>
    <d v="1899-12-30T01:00:00"/>
    <d v="1899-12-30T02:16:00"/>
    <n v="1.25"/>
    <n v="279"/>
    <n v="2.5714285714285716"/>
    <n v="0.4"/>
    <n v="0.13702267739575713"/>
    <n v="0"/>
    <n v="0.95915874177029992"/>
    <n v="0.95915874177029992"/>
    <n v="2.7"/>
    <n v="0.72"/>
    <n v="1.944"/>
    <n v="0.98484125822970003"/>
    <n v="0.50660558550910495"/>
    <n v="1.8408412582297005"/>
    <n v="2.8000000000000003"/>
    <n v="1.944"/>
    <n v="0.95915874177029992"/>
    <n v="-0.85600000000000032"/>
    <n v="0.98484125822970003"/>
    <n v="1.8408412582297005"/>
    <n v="14.112"/>
    <n v="5.76"/>
    <n v="0"/>
    <n v="1.44E-2"/>
    <n v="7.1999999999999998E-3"/>
    <n v="1.4399999999999999E-3"/>
    <n v="7.1999999999999994E-4"/>
    <n v="2.8799999999999997E-3"/>
    <n v="23.884"/>
    <n v="2.7944280000000004"/>
    <n v="3.4392959999999997"/>
    <n v="112.2548"/>
    <n v="2.0062560000000001E-3"/>
    <n v="2.3884000000000002E-3"/>
    <n v="1.1942000000000001E-4"/>
    <n v="0"/>
    <n v="0"/>
  </r>
  <r>
    <x v="49"/>
    <n v="1711"/>
    <n v="56"/>
    <n v="0"/>
    <n v="0"/>
    <n v="15"/>
    <n v="15"/>
    <n v="15"/>
    <n v="61"/>
    <n v="80"/>
    <n v="19"/>
    <d v="1899-12-30T01:00:00"/>
    <d v="1899-12-30T03:48:00"/>
    <n v="2.75"/>
    <n v="279"/>
    <n v="3.7333333333333334"/>
    <n v="0.4"/>
    <n v="0.13702267739575713"/>
    <n v="0"/>
    <n v="2.0553401609363569"/>
    <n v="2.0553401609363569"/>
    <n v="2.7"/>
    <n v="2.2400000000000002"/>
    <n v="6.0480000000000009"/>
    <n v="3.9926598390636441"/>
    <n v="0.66016201042718969"/>
    <n v="3.9446598390636431"/>
    <n v="6"/>
    <n v="6.0480000000000009"/>
    <n v="2.0553401609363569"/>
    <n v="4.8000000000000931E-2"/>
    <n v="3.9926598390636441"/>
    <n v="3.9446598390636431"/>
    <n v="43.904000000000011"/>
    <n v="17.920000000000002"/>
    <n v="0"/>
    <n v="4.4800000000000006E-2"/>
    <n v="2.2400000000000003E-2"/>
    <n v="4.4800000000000005E-3"/>
    <n v="2.2400000000000002E-3"/>
    <n v="8.9600000000000009E-3"/>
    <n v="51.18"/>
    <n v="5.9880599999999999"/>
    <n v="7.3699199999999996"/>
    <n v="240.54600000000002"/>
    <n v="4.29912E-3"/>
    <n v="5.1180000000000002E-3"/>
    <n v="2.5590000000000004E-4"/>
    <n v="0"/>
    <n v="0"/>
  </r>
  <r>
    <x v="50"/>
    <n v="0"/>
    <n v="0"/>
    <n v="0"/>
    <n v="0"/>
    <n v="0"/>
    <n v="0"/>
    <n v="0"/>
    <n v="0"/>
    <n v="0"/>
    <n v="0"/>
    <m/>
    <m/>
    <n v="0"/>
    <n v="0"/>
    <n v="0"/>
    <n v="0"/>
    <n v="0.13702267739575713"/>
    <n v="0"/>
    <n v="0"/>
    <n v="0"/>
    <n v="0"/>
    <n v="0"/>
    <n v="0"/>
    <n v="0"/>
    <n v="0"/>
    <n v="0"/>
    <n v="0"/>
    <n v="0"/>
    <n v="0"/>
    <n v="0"/>
    <n v="0"/>
    <n v="0"/>
    <n v="0"/>
    <n v="0"/>
    <n v="0"/>
    <n v="0"/>
    <n v="0"/>
    <n v="0"/>
    <n v="0"/>
    <n v="0"/>
    <n v="0"/>
    <n v="0"/>
    <n v="0"/>
    <n v="0"/>
    <n v="0"/>
    <n v="0"/>
    <n v="0"/>
    <n v="0"/>
    <n v="0"/>
  </r>
  <r>
    <x v="51"/>
    <n v="1751"/>
    <n v="40"/>
    <n v="0"/>
    <n v="0"/>
    <n v="11"/>
    <n v="11"/>
    <n v="11"/>
    <n v="65"/>
    <n v="80"/>
    <n v="15"/>
    <d v="1899-12-30T01:00:00"/>
    <d v="1899-12-30T03:06:00"/>
    <n v="2"/>
    <n v="280"/>
    <n v="3.6363636363636362"/>
    <n v="0.4"/>
    <n v="0.13702267739575713"/>
    <n v="0"/>
    <n v="1.5072494513533283"/>
    <n v="1.5072494513533283"/>
    <n v="2.7"/>
    <n v="1.6"/>
    <n v="4.32"/>
    <n v="2.812750548646672"/>
    <n v="0.65109966403858144"/>
    <n v="2.892750548646672"/>
    <n v="4.4000000000000004"/>
    <n v="4.32"/>
    <n v="1.5072494513533283"/>
    <n v="-8.0000000000000071E-2"/>
    <n v="2.812750548646672"/>
    <n v="2.892750548646672"/>
    <n v="31.360000000000003"/>
    <n v="12.8"/>
    <n v="0"/>
    <n v="3.2000000000000001E-2"/>
    <n v="1.6E-2"/>
    <n v="3.2000000000000002E-3"/>
    <n v="1.6000000000000001E-3"/>
    <n v="6.4000000000000003E-3"/>
    <n v="37.531999999999996"/>
    <n v="4.3912439999999995"/>
    <n v="5.4046079999999987"/>
    <n v="176.40039999999999"/>
    <n v="3.1526879999999994E-3"/>
    <n v="3.7531999999999999E-3"/>
    <n v="1.8766E-4"/>
    <n v="0"/>
    <n v="0"/>
  </r>
  <r>
    <x v="52"/>
    <n v="1775"/>
    <n v="24"/>
    <n v="0"/>
    <n v="0"/>
    <n v="6"/>
    <n v="6"/>
    <n v="6"/>
    <n v="72"/>
    <n v="80"/>
    <n v="8"/>
    <d v="1899-12-30T01:00:00"/>
    <d v="1899-12-30T02:00:00"/>
    <n v="1"/>
    <n v="280"/>
    <n v="4"/>
    <n v="0.4"/>
    <n v="0.13702267739575713"/>
    <n v="0"/>
    <n v="0.82213606437454279"/>
    <n v="0.82213606437454279"/>
    <n v="2.7"/>
    <n v="0.96"/>
    <n v="2.5920000000000001"/>
    <n v="1.7698639356254573"/>
    <n v="0.68281787639871039"/>
    <n v="1.5778639356254576"/>
    <n v="2.4000000000000004"/>
    <n v="2.5920000000000001"/>
    <n v="0.82213606437454279"/>
    <n v="0.19199999999999973"/>
    <n v="1.7698639356254573"/>
    <n v="1.5778639356254576"/>
    <n v="18.815999999999999"/>
    <n v="7.68"/>
    <n v="0"/>
    <n v="1.9199999999999998E-2"/>
    <n v="9.5999999999999992E-3"/>
    <n v="1.92E-3"/>
    <n v="9.6000000000000002E-4"/>
    <n v="3.8400000000000001E-3"/>
    <n v="20.472000000000001"/>
    <n v="2.3952240000000002"/>
    <n v="2.9479679999999999"/>
    <n v="96.218400000000017"/>
    <n v="1.7196480000000001E-3"/>
    <n v="2.0472000000000003E-3"/>
    <n v="1.0236000000000002E-4"/>
    <n v="0"/>
    <n v="0"/>
  </r>
  <r>
    <x v="53"/>
    <n v="0"/>
    <n v="0"/>
    <n v="0"/>
    <n v="0"/>
    <n v="0"/>
    <n v="0"/>
    <n v="0"/>
    <n v="0"/>
    <n v="0"/>
    <n v="0"/>
    <m/>
    <m/>
    <n v="0"/>
    <n v="0"/>
    <n v="0"/>
    <n v="0"/>
    <n v="0.13702267739575713"/>
    <n v="0"/>
    <n v="0"/>
    <n v="0"/>
    <n v="0"/>
    <n v="0"/>
    <n v="0"/>
    <n v="0"/>
    <n v="0"/>
    <n v="0"/>
    <n v="0"/>
    <n v="0"/>
    <n v="0"/>
    <n v="0"/>
    <n v="0"/>
    <n v="0"/>
    <n v="0"/>
    <n v="0"/>
    <n v="0"/>
    <n v="0"/>
    <n v="0"/>
    <n v="0"/>
    <n v="0"/>
    <n v="0"/>
    <n v="0"/>
    <n v="0"/>
    <n v="0"/>
    <n v="0"/>
    <n v="0"/>
    <n v="0"/>
    <n v="0"/>
    <n v="0"/>
    <n v="0"/>
  </r>
  <r>
    <x v="54"/>
    <n v="0"/>
    <n v="0"/>
    <n v="0"/>
    <n v="0"/>
    <n v="0"/>
    <n v="0"/>
    <n v="0"/>
    <n v="0"/>
    <n v="0"/>
    <n v="0"/>
    <m/>
    <m/>
    <n v="0"/>
    <n v="0"/>
    <n v="0"/>
    <n v="0"/>
    <n v="0.13702267739575713"/>
    <n v="0"/>
    <n v="0"/>
    <n v="0"/>
    <n v="0"/>
    <n v="0"/>
    <n v="0"/>
    <n v="0"/>
    <n v="0"/>
    <n v="0"/>
    <n v="0"/>
    <n v="0"/>
    <n v="0"/>
    <n v="0"/>
    <n v="0"/>
    <n v="0"/>
    <n v="0"/>
    <n v="0"/>
    <n v="0"/>
    <n v="0"/>
    <n v="0"/>
    <n v="0"/>
    <n v="0"/>
    <n v="0"/>
    <n v="0"/>
    <n v="0"/>
    <n v="0"/>
    <n v="0"/>
    <n v="0"/>
    <n v="0"/>
    <n v="0"/>
    <n v="0"/>
    <n v="0"/>
  </r>
  <r>
    <x v="55"/>
    <n v="0"/>
    <n v="0"/>
    <n v="0"/>
    <n v="0"/>
    <n v="0"/>
    <n v="0"/>
    <n v="0"/>
    <n v="0"/>
    <n v="0"/>
    <n v="0"/>
    <m/>
    <m/>
    <n v="0"/>
    <n v="0"/>
    <n v="0"/>
    <n v="0"/>
    <n v="0.13702267739575713"/>
    <n v="0"/>
    <n v="0"/>
    <n v="0"/>
    <n v="0"/>
    <n v="0"/>
    <n v="0"/>
    <n v="0"/>
    <n v="0"/>
    <n v="0"/>
    <n v="0"/>
    <n v="0"/>
    <n v="0"/>
    <n v="0"/>
    <n v="0"/>
    <n v="0"/>
    <n v="0"/>
    <n v="0"/>
    <n v="0"/>
    <n v="0"/>
    <n v="0"/>
    <n v="0"/>
    <n v="0"/>
    <n v="0"/>
    <n v="0"/>
    <n v="0"/>
    <n v="0"/>
    <n v="0"/>
    <n v="0"/>
    <n v="0"/>
    <n v="0"/>
    <n v="0"/>
    <n v="0"/>
  </r>
  <r>
    <x v="56"/>
    <n v="0"/>
    <n v="0"/>
    <n v="0"/>
    <n v="0"/>
    <n v="0"/>
    <n v="0"/>
    <n v="0"/>
    <n v="0"/>
    <n v="0"/>
    <n v="0"/>
    <m/>
    <m/>
    <n v="0"/>
    <n v="0"/>
    <n v="0"/>
    <n v="0"/>
    <n v="0.13702267739575713"/>
    <n v="0"/>
    <n v="0"/>
    <n v="0"/>
    <n v="0"/>
    <n v="0"/>
    <n v="0"/>
    <n v="0"/>
    <n v="0"/>
    <n v="0"/>
    <n v="0"/>
    <n v="0"/>
    <n v="0"/>
    <n v="0"/>
    <n v="0"/>
    <n v="0"/>
    <n v="0"/>
    <n v="0"/>
    <n v="0"/>
    <n v="0"/>
    <n v="0"/>
    <n v="0"/>
    <n v="0"/>
    <n v="0"/>
    <n v="0"/>
    <n v="0"/>
    <n v="0"/>
    <n v="0"/>
    <n v="0"/>
    <n v="0"/>
    <n v="0"/>
    <n v="0"/>
    <n v="0"/>
  </r>
  <r>
    <x v="57"/>
    <n v="0"/>
    <n v="0"/>
    <n v="0"/>
    <n v="0"/>
    <n v="0"/>
    <n v="0"/>
    <n v="0"/>
    <n v="0"/>
    <n v="0"/>
    <n v="0"/>
    <m/>
    <m/>
    <n v="0"/>
    <n v="0"/>
    <n v="0"/>
    <n v="0"/>
    <n v="0.13702267739575713"/>
    <n v="0"/>
    <n v="0"/>
    <n v="0"/>
    <n v="0"/>
    <n v="0"/>
    <n v="0"/>
    <n v="0"/>
    <n v="0"/>
    <n v="0"/>
    <n v="0"/>
    <n v="0"/>
    <n v="0"/>
    <n v="0"/>
    <n v="0"/>
    <n v="0"/>
    <n v="0"/>
    <n v="0"/>
    <n v="0"/>
    <n v="0"/>
    <n v="0"/>
    <n v="0"/>
    <n v="0"/>
    <n v="0"/>
    <n v="0"/>
    <n v="0"/>
    <n v="0"/>
    <n v="0"/>
    <n v="0"/>
    <n v="0"/>
    <n v="0"/>
    <n v="0"/>
    <n v="0"/>
  </r>
  <r>
    <x v="58"/>
    <n v="0"/>
    <n v="0"/>
    <n v="0"/>
    <n v="0"/>
    <n v="0"/>
    <n v="0"/>
    <n v="0"/>
    <n v="0"/>
    <n v="0"/>
    <n v="0"/>
    <m/>
    <m/>
    <n v="0"/>
    <n v="0"/>
    <n v="0"/>
    <n v="0"/>
    <n v="0.13702267739575713"/>
    <n v="0"/>
    <n v="0"/>
    <n v="0"/>
    <n v="0"/>
    <n v="0"/>
    <n v="0"/>
    <n v="0"/>
    <n v="0"/>
    <n v="0"/>
    <n v="0"/>
    <n v="0"/>
    <n v="0"/>
    <n v="0"/>
    <n v="0"/>
    <n v="0"/>
    <n v="0"/>
    <n v="0"/>
    <n v="0"/>
    <n v="0"/>
    <n v="0"/>
    <n v="0"/>
    <n v="0"/>
    <n v="0"/>
    <n v="0"/>
    <n v="0"/>
    <n v="0"/>
    <n v="0"/>
    <n v="0"/>
    <n v="0"/>
    <n v="0"/>
    <n v="0"/>
    <n v="0"/>
  </r>
  <r>
    <x v="59"/>
    <n v="0"/>
    <n v="0"/>
    <n v="0"/>
    <n v="0"/>
    <n v="0"/>
    <n v="0"/>
    <n v="0"/>
    <n v="0"/>
    <n v="0"/>
    <n v="0"/>
    <m/>
    <m/>
    <n v="0"/>
    <n v="0"/>
    <n v="0"/>
    <n v="0"/>
    <n v="0.13702267739575713"/>
    <n v="0"/>
    <n v="0"/>
    <n v="0"/>
    <n v="0"/>
    <n v="0"/>
    <n v="0"/>
    <n v="0"/>
    <n v="0"/>
    <n v="0"/>
    <n v="0"/>
    <n v="0"/>
    <n v="0"/>
    <n v="0"/>
    <n v="0"/>
    <n v="0"/>
    <n v="0"/>
    <n v="0"/>
    <n v="0"/>
    <n v="0"/>
    <n v="0"/>
    <n v="0"/>
    <n v="0"/>
    <n v="0"/>
    <n v="0"/>
    <n v="0"/>
    <n v="0"/>
    <n v="0"/>
    <n v="0"/>
    <n v="0"/>
    <n v="0"/>
    <n v="0"/>
    <n v="0"/>
  </r>
  <r>
    <x v="60"/>
    <n v="0"/>
    <n v="0"/>
    <n v="0"/>
    <n v="0"/>
    <n v="0"/>
    <n v="0"/>
    <n v="0"/>
    <n v="0"/>
    <n v="0"/>
    <n v="0"/>
    <m/>
    <m/>
    <n v="0"/>
    <n v="0"/>
    <n v="0"/>
    <n v="0"/>
    <n v="0.13702267739575713"/>
    <n v="0"/>
    <n v="0"/>
    <n v="0"/>
    <n v="0"/>
    <n v="0"/>
    <n v="0"/>
    <n v="0"/>
    <n v="0"/>
    <n v="0"/>
    <n v="0"/>
    <n v="0"/>
    <n v="0"/>
    <n v="0"/>
    <n v="0"/>
    <n v="0"/>
    <n v="0"/>
    <n v="0"/>
    <n v="0"/>
    <n v="0"/>
    <n v="0"/>
    <n v="0"/>
    <n v="0"/>
    <n v="0"/>
    <n v="0"/>
    <n v="0"/>
    <n v="0"/>
    <n v="0"/>
    <n v="0"/>
    <n v="0"/>
    <n v="0"/>
    <n v="0"/>
    <n v="0"/>
  </r>
  <r>
    <x v="61"/>
    <n v="0"/>
    <n v="0"/>
    <n v="0"/>
    <n v="0"/>
    <n v="0"/>
    <n v="0"/>
    <n v="0"/>
    <n v="0"/>
    <n v="0"/>
    <n v="0"/>
    <m/>
    <m/>
    <n v="0"/>
    <n v="0"/>
    <n v="0"/>
    <n v="0"/>
    <n v="0.13702267739575713"/>
    <n v="0"/>
    <n v="0"/>
    <n v="0"/>
    <n v="0"/>
    <n v="0"/>
    <n v="0"/>
    <n v="0"/>
    <n v="0"/>
    <n v="0"/>
    <n v="0"/>
    <n v="0"/>
    <n v="0"/>
    <n v="0"/>
    <n v="0"/>
    <n v="0"/>
    <n v="0"/>
    <n v="0"/>
    <n v="0"/>
    <n v="0"/>
    <n v="0"/>
    <n v="0"/>
    <n v="0"/>
    <n v="0"/>
    <n v="0"/>
    <n v="0"/>
    <n v="0"/>
    <n v="0"/>
    <n v="0"/>
    <n v="0"/>
    <n v="0"/>
    <n v="0"/>
    <n v="0"/>
  </r>
  <r>
    <x v="62"/>
    <n v="0"/>
    <n v="0"/>
    <n v="0"/>
    <n v="0"/>
    <n v="0"/>
    <n v="0"/>
    <n v="0"/>
    <n v="0"/>
    <n v="0"/>
    <n v="0"/>
    <m/>
    <m/>
    <n v="0"/>
    <n v="0"/>
    <n v="0"/>
    <n v="0"/>
    <n v="0.13702267739575713"/>
    <n v="0"/>
    <n v="0"/>
    <n v="0"/>
    <n v="0"/>
    <n v="0"/>
    <n v="0"/>
    <n v="0"/>
    <n v="0"/>
    <n v="0"/>
    <n v="0"/>
    <n v="0"/>
    <n v="0"/>
    <n v="0"/>
    <n v="0"/>
    <n v="0"/>
    <n v="0"/>
    <n v="0"/>
    <n v="0"/>
    <n v="0"/>
    <n v="0"/>
    <n v="0"/>
    <n v="0"/>
    <n v="0"/>
    <n v="0"/>
    <n v="0"/>
    <n v="0"/>
    <n v="0"/>
    <n v="0"/>
    <n v="0"/>
    <n v="0"/>
    <n v="0"/>
    <n v="0"/>
  </r>
  <r>
    <x v="63"/>
    <n v="0"/>
    <n v="0"/>
    <n v="0"/>
    <n v="0"/>
    <n v="0"/>
    <n v="0"/>
    <n v="0"/>
    <n v="0"/>
    <n v="0"/>
    <n v="0"/>
    <m/>
    <m/>
    <n v="0"/>
    <n v="0"/>
    <n v="0"/>
    <n v="0"/>
    <n v="0.13702267739575713"/>
    <n v="0"/>
    <n v="0"/>
    <n v="0"/>
    <n v="0"/>
    <n v="0"/>
    <n v="0"/>
    <n v="0"/>
    <n v="0"/>
    <n v="0"/>
    <n v="0"/>
    <n v="0"/>
    <n v="0"/>
    <n v="0"/>
    <n v="0"/>
    <n v="0"/>
    <n v="0"/>
    <n v="0"/>
    <n v="0"/>
    <n v="0"/>
    <n v="0"/>
    <n v="0"/>
    <n v="0"/>
    <n v="0"/>
    <n v="0"/>
    <n v="0"/>
    <n v="0"/>
    <n v="0"/>
    <n v="0"/>
    <n v="0"/>
    <n v="0"/>
    <n v="0"/>
    <n v="0"/>
  </r>
  <r>
    <x v="64"/>
    <m/>
    <m/>
    <m/>
    <m/>
    <m/>
    <m/>
    <m/>
    <m/>
    <m/>
    <m/>
    <m/>
    <m/>
    <m/>
    <m/>
    <m/>
    <m/>
    <m/>
    <m/>
    <m/>
    <m/>
    <m/>
    <m/>
    <m/>
    <m/>
    <m/>
    <m/>
    <m/>
    <m/>
    <m/>
    <m/>
    <m/>
    <m/>
    <m/>
    <m/>
    <m/>
    <m/>
    <m/>
    <m/>
    <m/>
    <m/>
    <m/>
    <m/>
    <m/>
    <m/>
    <m/>
    <m/>
    <m/>
    <m/>
    <m/>
  </r>
  <r>
    <x v="65"/>
    <m/>
    <m/>
    <m/>
    <m/>
    <m/>
    <m/>
    <m/>
    <m/>
    <m/>
    <m/>
    <m/>
    <m/>
    <m/>
    <m/>
    <m/>
    <m/>
    <m/>
    <m/>
    <m/>
    <m/>
    <m/>
    <m/>
    <m/>
    <m/>
    <m/>
    <m/>
    <m/>
    <m/>
    <m/>
    <m/>
    <m/>
    <m/>
    <m/>
    <m/>
    <m/>
    <m/>
    <m/>
    <m/>
    <m/>
    <m/>
    <m/>
    <m/>
    <m/>
    <m/>
    <m/>
    <m/>
    <m/>
    <m/>
    <m/>
  </r>
  <r>
    <x v="66"/>
    <m/>
    <m/>
    <m/>
    <m/>
    <m/>
    <m/>
    <m/>
    <m/>
    <m/>
    <m/>
    <m/>
    <m/>
    <m/>
    <m/>
    <m/>
    <m/>
    <m/>
    <m/>
    <m/>
    <m/>
    <m/>
    <m/>
    <m/>
    <m/>
    <m/>
    <m/>
    <m/>
    <m/>
    <m/>
    <m/>
    <m/>
    <m/>
    <m/>
    <m/>
    <m/>
    <m/>
    <m/>
    <m/>
    <m/>
    <m/>
    <m/>
    <m/>
    <m/>
    <m/>
    <m/>
    <m/>
    <m/>
    <m/>
    <m/>
  </r>
  <r>
    <x v="67"/>
    <m/>
    <m/>
    <m/>
    <m/>
    <m/>
    <m/>
    <m/>
    <m/>
    <m/>
    <m/>
    <m/>
    <m/>
    <m/>
    <m/>
    <m/>
    <m/>
    <m/>
    <m/>
    <m/>
    <m/>
    <m/>
    <m/>
    <m/>
    <m/>
    <m/>
    <m/>
    <m/>
    <m/>
    <m/>
    <m/>
    <m/>
    <m/>
    <m/>
    <m/>
    <m/>
    <m/>
    <m/>
    <m/>
    <m/>
    <m/>
    <m/>
    <m/>
    <m/>
    <m/>
    <m/>
    <m/>
    <m/>
    <m/>
    <m/>
  </r>
  <r>
    <x v="68"/>
    <m/>
    <m/>
    <m/>
    <m/>
    <m/>
    <m/>
    <m/>
    <m/>
    <m/>
    <m/>
    <m/>
    <m/>
    <m/>
    <m/>
    <m/>
    <m/>
    <m/>
    <m/>
    <m/>
    <m/>
    <m/>
    <m/>
    <m/>
    <m/>
    <m/>
    <m/>
    <m/>
    <m/>
    <m/>
    <m/>
    <m/>
    <m/>
    <m/>
    <m/>
    <m/>
    <m/>
    <m/>
    <m/>
    <m/>
    <m/>
    <m/>
    <m/>
    <m/>
    <m/>
    <m/>
    <m/>
    <m/>
    <m/>
    <m/>
  </r>
  <r>
    <x v="69"/>
    <m/>
    <m/>
    <m/>
    <m/>
    <m/>
    <m/>
    <m/>
    <m/>
    <m/>
    <m/>
    <m/>
    <m/>
    <m/>
    <m/>
    <m/>
    <m/>
    <m/>
    <m/>
    <m/>
    <m/>
    <m/>
    <m/>
    <m/>
    <m/>
    <m/>
    <m/>
    <m/>
    <m/>
    <m/>
    <m/>
    <m/>
    <m/>
    <m/>
    <m/>
    <m/>
    <m/>
    <m/>
    <m/>
    <m/>
    <m/>
    <m/>
    <m/>
    <m/>
    <m/>
    <m/>
    <m/>
    <m/>
    <m/>
    <m/>
  </r>
  <r>
    <x v="70"/>
    <m/>
    <m/>
    <m/>
    <m/>
    <m/>
    <m/>
    <m/>
    <m/>
    <m/>
    <m/>
    <m/>
    <m/>
    <m/>
    <m/>
    <m/>
    <m/>
    <m/>
    <m/>
    <m/>
    <m/>
    <m/>
    <m/>
    <m/>
    <m/>
    <m/>
    <m/>
    <m/>
    <m/>
    <m/>
    <m/>
    <m/>
    <m/>
    <m/>
    <m/>
    <m/>
    <m/>
    <m/>
    <m/>
    <m/>
    <m/>
    <m/>
    <m/>
    <m/>
    <m/>
    <m/>
    <m/>
    <m/>
    <m/>
    <m/>
  </r>
  <r>
    <x v="71"/>
    <m/>
    <m/>
    <m/>
    <m/>
    <m/>
    <m/>
    <m/>
    <m/>
    <m/>
    <m/>
    <m/>
    <m/>
    <m/>
    <m/>
    <m/>
    <m/>
    <m/>
    <m/>
    <m/>
    <m/>
    <m/>
    <m/>
    <m/>
    <m/>
    <m/>
    <m/>
    <m/>
    <m/>
    <m/>
    <m/>
    <m/>
    <m/>
    <m/>
    <m/>
    <m/>
    <m/>
    <m/>
    <m/>
    <m/>
    <m/>
    <m/>
    <m/>
    <m/>
    <m/>
    <m/>
    <m/>
    <m/>
    <m/>
    <m/>
  </r>
  <r>
    <x v="72"/>
    <m/>
    <m/>
    <m/>
    <m/>
    <m/>
    <m/>
    <m/>
    <m/>
    <m/>
    <m/>
    <m/>
    <m/>
    <m/>
    <m/>
    <m/>
    <m/>
    <m/>
    <m/>
    <m/>
    <m/>
    <m/>
    <m/>
    <m/>
    <m/>
    <m/>
    <m/>
    <m/>
    <m/>
    <m/>
    <m/>
    <m/>
    <m/>
    <m/>
    <m/>
    <m/>
    <m/>
    <m/>
    <m/>
    <m/>
    <m/>
    <m/>
    <m/>
    <m/>
    <m/>
    <m/>
    <m/>
    <m/>
    <m/>
    <m/>
  </r>
  <r>
    <x v="73"/>
    <m/>
    <m/>
    <m/>
    <m/>
    <m/>
    <m/>
    <m/>
    <m/>
    <m/>
    <m/>
    <m/>
    <m/>
    <m/>
    <m/>
    <m/>
    <m/>
    <m/>
    <m/>
    <m/>
    <m/>
    <m/>
    <m/>
    <m/>
    <m/>
    <m/>
    <m/>
    <m/>
    <m/>
    <m/>
    <m/>
    <m/>
    <m/>
    <m/>
    <m/>
    <m/>
    <m/>
    <m/>
    <m/>
    <m/>
    <m/>
    <m/>
    <m/>
    <m/>
    <m/>
    <m/>
    <m/>
    <m/>
    <m/>
    <m/>
  </r>
  <r>
    <x v="74"/>
    <m/>
    <m/>
    <m/>
    <m/>
    <m/>
    <m/>
    <m/>
    <m/>
    <m/>
    <m/>
    <m/>
    <m/>
    <m/>
    <m/>
    <m/>
    <m/>
    <m/>
    <m/>
    <m/>
    <m/>
    <m/>
    <m/>
    <m/>
    <m/>
    <m/>
    <m/>
    <m/>
    <m/>
    <m/>
    <m/>
    <m/>
    <m/>
    <m/>
    <m/>
    <m/>
    <m/>
    <m/>
    <m/>
    <m/>
    <m/>
    <m/>
    <m/>
    <m/>
    <m/>
    <m/>
    <m/>
    <m/>
    <m/>
    <m/>
  </r>
  <r>
    <x v="75"/>
    <m/>
    <m/>
    <m/>
    <m/>
    <m/>
    <m/>
    <m/>
    <m/>
    <m/>
    <m/>
    <m/>
    <m/>
    <m/>
    <m/>
    <m/>
    <m/>
    <m/>
    <m/>
    <m/>
    <m/>
    <m/>
    <m/>
    <m/>
    <m/>
    <m/>
    <m/>
    <m/>
    <m/>
    <m/>
    <m/>
    <m/>
    <m/>
    <m/>
    <m/>
    <m/>
    <m/>
    <m/>
    <m/>
    <m/>
    <m/>
    <m/>
    <m/>
    <m/>
    <m/>
    <m/>
    <m/>
    <m/>
    <m/>
    <m/>
  </r>
  <r>
    <x v="76"/>
    <m/>
    <m/>
    <m/>
    <m/>
    <m/>
    <m/>
    <m/>
    <m/>
    <m/>
    <m/>
    <m/>
    <m/>
    <m/>
    <m/>
    <m/>
    <m/>
    <m/>
    <m/>
    <m/>
    <m/>
    <m/>
    <m/>
    <m/>
    <m/>
    <m/>
    <m/>
    <m/>
    <m/>
    <m/>
    <m/>
    <m/>
    <m/>
    <m/>
    <m/>
    <m/>
    <m/>
    <m/>
    <m/>
    <m/>
    <m/>
    <m/>
    <m/>
    <m/>
    <m/>
    <m/>
    <m/>
    <m/>
    <m/>
    <m/>
  </r>
  <r>
    <x v="77"/>
    <m/>
    <m/>
    <m/>
    <m/>
    <m/>
    <m/>
    <m/>
    <m/>
    <m/>
    <m/>
    <m/>
    <m/>
    <m/>
    <m/>
    <m/>
    <m/>
    <m/>
    <m/>
    <m/>
    <m/>
    <m/>
    <m/>
    <m/>
    <m/>
    <m/>
    <m/>
    <m/>
    <m/>
    <m/>
    <m/>
    <m/>
    <m/>
    <m/>
    <m/>
    <m/>
    <m/>
    <m/>
    <m/>
    <m/>
    <m/>
    <m/>
    <m/>
    <m/>
    <m/>
    <m/>
    <m/>
    <m/>
    <m/>
    <m/>
  </r>
  <r>
    <x v="78"/>
    <m/>
    <m/>
    <m/>
    <m/>
    <m/>
    <m/>
    <m/>
    <m/>
    <m/>
    <m/>
    <m/>
    <m/>
    <m/>
    <m/>
    <m/>
    <m/>
    <m/>
    <m/>
    <m/>
    <m/>
    <m/>
    <m/>
    <m/>
    <m/>
    <m/>
    <m/>
    <m/>
    <m/>
    <m/>
    <m/>
    <m/>
    <m/>
    <m/>
    <m/>
    <m/>
    <m/>
    <m/>
    <m/>
    <m/>
    <m/>
    <m/>
    <m/>
    <m/>
    <m/>
    <m/>
    <m/>
    <m/>
    <m/>
    <m/>
  </r>
  <r>
    <x v="79"/>
    <m/>
    <m/>
    <m/>
    <m/>
    <m/>
    <m/>
    <m/>
    <m/>
    <m/>
    <m/>
    <m/>
    <m/>
    <m/>
    <m/>
    <m/>
    <m/>
    <m/>
    <m/>
    <m/>
    <m/>
    <m/>
    <m/>
    <m/>
    <m/>
    <m/>
    <m/>
    <m/>
    <m/>
    <m/>
    <m/>
    <m/>
    <m/>
    <m/>
    <m/>
    <m/>
    <m/>
    <m/>
    <m/>
    <m/>
    <m/>
    <m/>
    <m/>
    <m/>
    <m/>
    <m/>
    <m/>
    <m/>
    <m/>
    <m/>
  </r>
  <r>
    <x v="80"/>
    <m/>
    <m/>
    <m/>
    <m/>
    <m/>
    <m/>
    <m/>
    <m/>
    <m/>
    <m/>
    <m/>
    <m/>
    <m/>
    <m/>
    <m/>
    <m/>
    <m/>
    <m/>
    <m/>
    <m/>
    <m/>
    <m/>
    <m/>
    <m/>
    <m/>
    <m/>
    <m/>
    <m/>
    <m/>
    <m/>
    <m/>
    <m/>
    <m/>
    <m/>
    <m/>
    <m/>
    <m/>
    <m/>
    <m/>
    <m/>
    <m/>
    <m/>
    <m/>
    <m/>
    <m/>
    <m/>
    <m/>
    <m/>
    <m/>
  </r>
  <r>
    <x v="81"/>
    <m/>
    <m/>
    <m/>
    <m/>
    <m/>
    <m/>
    <m/>
    <m/>
    <m/>
    <m/>
    <m/>
    <m/>
    <m/>
    <m/>
    <m/>
    <m/>
    <m/>
    <m/>
    <m/>
    <m/>
    <m/>
    <m/>
    <m/>
    <m/>
    <m/>
    <m/>
    <m/>
    <m/>
    <m/>
    <m/>
    <m/>
    <m/>
    <m/>
    <m/>
    <m/>
    <m/>
    <m/>
    <m/>
    <m/>
    <m/>
    <m/>
    <m/>
    <m/>
    <m/>
    <m/>
    <m/>
    <m/>
    <m/>
    <m/>
  </r>
  <r>
    <x v="82"/>
    <m/>
    <m/>
    <m/>
    <m/>
    <m/>
    <m/>
    <m/>
    <m/>
    <m/>
    <m/>
    <m/>
    <m/>
    <m/>
    <m/>
    <m/>
    <m/>
    <m/>
    <m/>
    <m/>
    <m/>
    <m/>
    <m/>
    <m/>
    <m/>
    <m/>
    <m/>
    <m/>
    <m/>
    <m/>
    <m/>
    <m/>
    <m/>
    <m/>
    <m/>
    <m/>
    <m/>
    <m/>
    <m/>
    <m/>
    <m/>
    <m/>
    <m/>
    <m/>
    <m/>
    <m/>
    <m/>
    <m/>
    <m/>
    <m/>
  </r>
  <r>
    <x v="83"/>
    <m/>
    <m/>
    <m/>
    <m/>
    <m/>
    <m/>
    <m/>
    <m/>
    <m/>
    <m/>
    <m/>
    <m/>
    <m/>
    <m/>
    <m/>
    <m/>
    <m/>
    <m/>
    <m/>
    <m/>
    <m/>
    <m/>
    <m/>
    <m/>
    <m/>
    <m/>
    <m/>
    <m/>
    <m/>
    <m/>
    <m/>
    <m/>
    <m/>
    <m/>
    <m/>
    <m/>
    <m/>
    <m/>
    <m/>
    <m/>
    <m/>
    <m/>
    <m/>
    <m/>
    <m/>
    <m/>
    <m/>
    <m/>
    <m/>
  </r>
  <r>
    <x v="84"/>
    <m/>
    <m/>
    <m/>
    <m/>
    <m/>
    <m/>
    <m/>
    <m/>
    <m/>
    <m/>
    <m/>
    <m/>
    <m/>
    <m/>
    <m/>
    <m/>
    <m/>
    <m/>
    <m/>
    <m/>
    <m/>
    <m/>
    <m/>
    <m/>
    <m/>
    <m/>
    <m/>
    <m/>
    <m/>
    <m/>
    <m/>
    <m/>
    <m/>
    <m/>
    <m/>
    <m/>
    <m/>
    <m/>
    <m/>
    <m/>
    <m/>
    <m/>
    <m/>
    <m/>
    <m/>
    <m/>
    <m/>
    <m/>
    <m/>
  </r>
  <r>
    <x v="85"/>
    <m/>
    <m/>
    <m/>
    <m/>
    <m/>
    <m/>
    <m/>
    <m/>
    <m/>
    <m/>
    <m/>
    <m/>
    <m/>
    <m/>
    <m/>
    <m/>
    <m/>
    <m/>
    <m/>
    <m/>
    <m/>
    <m/>
    <m/>
    <m/>
    <m/>
    <m/>
    <m/>
    <m/>
    <m/>
    <m/>
    <m/>
    <m/>
    <m/>
    <m/>
    <m/>
    <m/>
    <m/>
    <m/>
    <m/>
    <m/>
    <m/>
    <m/>
    <m/>
    <m/>
    <m/>
    <m/>
    <m/>
    <m/>
    <m/>
  </r>
  <r>
    <x v="86"/>
    <m/>
    <m/>
    <m/>
    <m/>
    <m/>
    <m/>
    <m/>
    <m/>
    <m/>
    <m/>
    <m/>
    <m/>
    <m/>
    <m/>
    <m/>
    <m/>
    <m/>
    <m/>
    <m/>
    <m/>
    <m/>
    <m/>
    <m/>
    <m/>
    <m/>
    <m/>
    <m/>
    <m/>
    <m/>
    <m/>
    <m/>
    <m/>
    <m/>
    <m/>
    <m/>
    <m/>
    <m/>
    <m/>
    <m/>
    <m/>
    <m/>
    <m/>
    <m/>
    <m/>
    <m/>
    <m/>
    <m/>
    <m/>
    <m/>
  </r>
  <r>
    <x v="87"/>
    <m/>
    <m/>
    <m/>
    <m/>
    <m/>
    <m/>
    <m/>
    <m/>
    <m/>
    <m/>
    <m/>
    <m/>
    <m/>
    <m/>
    <m/>
    <m/>
    <m/>
    <m/>
    <m/>
    <m/>
    <m/>
    <m/>
    <m/>
    <m/>
    <m/>
    <m/>
    <m/>
    <m/>
    <m/>
    <m/>
    <m/>
    <m/>
    <m/>
    <m/>
    <m/>
    <m/>
    <m/>
    <m/>
    <m/>
    <m/>
    <m/>
    <m/>
    <m/>
    <m/>
    <m/>
    <m/>
    <m/>
    <m/>
    <m/>
  </r>
  <r>
    <x v="88"/>
    <m/>
    <m/>
    <m/>
    <m/>
    <m/>
    <m/>
    <m/>
    <m/>
    <m/>
    <m/>
    <m/>
    <m/>
    <m/>
    <m/>
    <m/>
    <m/>
    <m/>
    <m/>
    <m/>
    <m/>
    <m/>
    <m/>
    <m/>
    <m/>
    <m/>
    <m/>
    <m/>
    <m/>
    <m/>
    <m/>
    <m/>
    <m/>
    <m/>
    <m/>
    <m/>
    <m/>
    <m/>
    <m/>
    <m/>
    <m/>
    <m/>
    <m/>
    <m/>
    <m/>
    <m/>
    <m/>
    <m/>
    <m/>
    <m/>
  </r>
  <r>
    <x v="89"/>
    <m/>
    <m/>
    <m/>
    <m/>
    <m/>
    <m/>
    <m/>
    <m/>
    <m/>
    <m/>
    <m/>
    <m/>
    <m/>
    <m/>
    <m/>
    <m/>
    <m/>
    <m/>
    <m/>
    <m/>
    <m/>
    <m/>
    <m/>
    <m/>
    <m/>
    <m/>
    <m/>
    <m/>
    <m/>
    <m/>
    <m/>
    <m/>
    <m/>
    <m/>
    <m/>
    <m/>
    <m/>
    <m/>
    <m/>
    <m/>
    <m/>
    <m/>
    <m/>
    <m/>
    <m/>
    <m/>
    <m/>
    <m/>
    <m/>
  </r>
  <r>
    <x v="90"/>
    <m/>
    <m/>
    <m/>
    <m/>
    <m/>
    <m/>
    <m/>
    <m/>
    <m/>
    <m/>
    <m/>
    <m/>
    <m/>
    <m/>
    <m/>
    <m/>
    <m/>
    <m/>
    <m/>
    <m/>
    <m/>
    <m/>
    <m/>
    <m/>
    <m/>
    <m/>
    <m/>
    <m/>
    <m/>
    <m/>
    <m/>
    <m/>
    <m/>
    <m/>
    <m/>
    <m/>
    <m/>
    <m/>
    <m/>
    <m/>
    <m/>
    <m/>
    <m/>
    <m/>
    <m/>
    <m/>
    <m/>
    <m/>
    <m/>
  </r>
  <r>
    <x v="91"/>
    <m/>
    <m/>
    <m/>
    <m/>
    <m/>
    <m/>
    <m/>
    <m/>
    <m/>
    <m/>
    <m/>
    <m/>
    <m/>
    <m/>
    <m/>
    <m/>
    <m/>
    <m/>
    <m/>
    <m/>
    <m/>
    <m/>
    <m/>
    <m/>
    <m/>
    <m/>
    <m/>
    <m/>
    <m/>
    <m/>
    <m/>
    <m/>
    <m/>
    <m/>
    <m/>
    <m/>
    <m/>
    <m/>
    <m/>
    <m/>
    <m/>
    <m/>
    <m/>
    <m/>
    <m/>
    <m/>
    <m/>
    <m/>
    <m/>
  </r>
  <r>
    <x v="92"/>
    <m/>
    <m/>
    <m/>
    <m/>
    <m/>
    <m/>
    <m/>
    <m/>
    <m/>
    <m/>
    <m/>
    <m/>
    <m/>
    <m/>
    <m/>
    <m/>
    <m/>
    <m/>
    <m/>
    <m/>
    <m/>
    <m/>
    <m/>
    <m/>
    <m/>
    <m/>
    <m/>
    <m/>
    <m/>
    <m/>
    <m/>
    <m/>
    <m/>
    <m/>
    <m/>
    <m/>
    <m/>
    <m/>
    <m/>
    <m/>
    <m/>
    <m/>
    <m/>
    <m/>
    <m/>
    <m/>
    <m/>
    <m/>
    <m/>
  </r>
  <r>
    <x v="93"/>
    <m/>
    <m/>
    <m/>
    <m/>
    <m/>
    <m/>
    <m/>
    <m/>
    <m/>
    <m/>
    <m/>
    <m/>
    <m/>
    <m/>
    <m/>
    <m/>
    <m/>
    <m/>
    <m/>
    <m/>
    <m/>
    <m/>
    <m/>
    <m/>
    <m/>
    <m/>
    <m/>
    <m/>
    <m/>
    <m/>
    <m/>
    <m/>
    <m/>
    <m/>
    <m/>
    <m/>
    <m/>
    <m/>
    <m/>
    <m/>
    <m/>
    <m/>
    <m/>
    <m/>
    <m/>
    <m/>
    <m/>
    <m/>
    <m/>
  </r>
  <r>
    <x v="94"/>
    <m/>
    <m/>
    <m/>
    <m/>
    <m/>
    <m/>
    <m/>
    <m/>
    <m/>
    <m/>
    <m/>
    <m/>
    <m/>
    <m/>
    <m/>
    <m/>
    <m/>
    <m/>
    <m/>
    <m/>
    <m/>
    <m/>
    <m/>
    <m/>
    <m/>
    <m/>
    <m/>
    <m/>
    <m/>
    <m/>
    <m/>
    <m/>
    <m/>
    <m/>
    <m/>
    <m/>
    <m/>
    <m/>
    <m/>
    <m/>
    <m/>
    <m/>
    <m/>
    <m/>
    <m/>
    <m/>
    <m/>
    <m/>
    <m/>
  </r>
  <r>
    <x v="95"/>
    <m/>
    <m/>
    <m/>
    <m/>
    <m/>
    <m/>
    <m/>
    <m/>
    <m/>
    <m/>
    <m/>
    <m/>
    <m/>
    <m/>
    <m/>
    <m/>
    <m/>
    <m/>
    <m/>
    <m/>
    <m/>
    <m/>
    <m/>
    <m/>
    <m/>
    <m/>
    <m/>
    <m/>
    <m/>
    <m/>
    <m/>
    <m/>
    <m/>
    <m/>
    <m/>
    <m/>
    <m/>
    <m/>
    <m/>
    <m/>
    <m/>
    <m/>
    <m/>
    <m/>
    <m/>
    <m/>
    <m/>
    <m/>
    <m/>
  </r>
  <r>
    <x v="96"/>
    <m/>
    <m/>
    <m/>
    <m/>
    <m/>
    <m/>
    <m/>
    <m/>
    <m/>
    <m/>
    <m/>
    <m/>
    <m/>
    <m/>
    <m/>
    <m/>
    <m/>
    <m/>
    <m/>
    <m/>
    <m/>
    <m/>
    <m/>
    <m/>
    <m/>
    <m/>
    <m/>
    <m/>
    <m/>
    <m/>
    <m/>
    <m/>
    <m/>
    <m/>
    <m/>
    <m/>
    <m/>
    <m/>
    <m/>
    <m/>
    <m/>
    <m/>
    <m/>
    <m/>
    <m/>
    <m/>
    <m/>
    <m/>
    <m/>
  </r>
  <r>
    <x v="97"/>
    <m/>
    <m/>
    <m/>
    <m/>
    <m/>
    <m/>
    <m/>
    <m/>
    <m/>
    <m/>
    <m/>
    <m/>
    <m/>
    <m/>
    <m/>
    <m/>
    <m/>
    <m/>
    <m/>
    <m/>
    <m/>
    <m/>
    <m/>
    <m/>
    <m/>
    <m/>
    <m/>
    <m/>
    <m/>
    <m/>
    <m/>
    <m/>
    <m/>
    <m/>
    <m/>
    <m/>
    <m/>
    <m/>
    <m/>
    <m/>
    <m/>
    <m/>
    <m/>
    <m/>
    <m/>
    <m/>
    <m/>
    <m/>
    <m/>
  </r>
  <r>
    <x v="98"/>
    <m/>
    <m/>
    <m/>
    <m/>
    <m/>
    <m/>
    <m/>
    <m/>
    <m/>
    <m/>
    <m/>
    <m/>
    <m/>
    <m/>
    <m/>
    <m/>
    <m/>
    <m/>
    <m/>
    <m/>
    <m/>
    <m/>
    <m/>
    <m/>
    <m/>
    <m/>
    <m/>
    <m/>
    <m/>
    <m/>
    <m/>
    <m/>
    <m/>
    <m/>
    <m/>
    <m/>
    <m/>
    <m/>
    <m/>
    <m/>
    <m/>
    <m/>
    <m/>
    <m/>
    <m/>
    <m/>
    <m/>
    <m/>
    <m/>
  </r>
  <r>
    <x v="99"/>
    <m/>
    <m/>
    <m/>
    <m/>
    <m/>
    <m/>
    <m/>
    <m/>
    <m/>
    <m/>
    <m/>
    <m/>
    <m/>
    <m/>
    <m/>
    <m/>
    <m/>
    <m/>
    <m/>
    <m/>
    <m/>
    <m/>
    <m/>
    <m/>
    <m/>
    <m/>
    <m/>
    <m/>
    <m/>
    <m/>
    <m/>
    <m/>
    <m/>
    <m/>
    <m/>
    <m/>
    <m/>
    <m/>
    <m/>
    <m/>
    <m/>
    <m/>
    <m/>
    <m/>
    <m/>
    <m/>
    <m/>
    <m/>
    <m/>
  </r>
  <r>
    <x v="100"/>
    <m/>
    <m/>
    <m/>
    <m/>
    <m/>
    <m/>
    <m/>
    <m/>
    <m/>
    <m/>
    <m/>
    <m/>
    <m/>
    <m/>
    <m/>
    <m/>
    <m/>
    <m/>
    <m/>
    <m/>
    <m/>
    <m/>
    <m/>
    <m/>
    <m/>
    <m/>
    <m/>
    <m/>
    <m/>
    <m/>
    <m/>
    <m/>
    <m/>
    <m/>
    <m/>
    <m/>
    <m/>
    <m/>
    <m/>
    <m/>
    <m/>
    <m/>
    <m/>
    <m/>
    <m/>
    <m/>
    <m/>
    <m/>
    <m/>
  </r>
  <r>
    <x v="101"/>
    <m/>
    <m/>
    <m/>
    <m/>
    <m/>
    <m/>
    <m/>
    <m/>
    <m/>
    <m/>
    <m/>
    <m/>
    <m/>
    <m/>
    <m/>
    <m/>
    <m/>
    <m/>
    <m/>
    <m/>
    <m/>
    <m/>
    <m/>
    <m/>
    <m/>
    <m/>
    <m/>
    <m/>
    <m/>
    <m/>
    <m/>
    <m/>
    <m/>
    <m/>
    <m/>
    <m/>
    <m/>
    <m/>
    <m/>
    <m/>
    <m/>
    <m/>
    <m/>
    <m/>
    <m/>
    <m/>
    <m/>
    <m/>
    <m/>
  </r>
  <r>
    <x v="102"/>
    <m/>
    <m/>
    <m/>
    <m/>
    <m/>
    <m/>
    <m/>
    <m/>
    <m/>
    <m/>
    <m/>
    <m/>
    <m/>
    <m/>
    <m/>
    <m/>
    <m/>
    <m/>
    <m/>
    <m/>
    <m/>
    <m/>
    <m/>
    <m/>
    <m/>
    <m/>
    <m/>
    <m/>
    <m/>
    <m/>
    <m/>
    <m/>
    <m/>
    <m/>
    <m/>
    <m/>
    <m/>
    <m/>
    <m/>
    <m/>
    <m/>
    <m/>
    <m/>
    <m/>
    <m/>
    <m/>
    <m/>
    <m/>
    <m/>
  </r>
  <r>
    <x v="103"/>
    <m/>
    <m/>
    <m/>
    <m/>
    <m/>
    <m/>
    <m/>
    <m/>
    <m/>
    <m/>
    <m/>
    <m/>
    <m/>
    <m/>
    <m/>
    <m/>
    <m/>
    <m/>
    <m/>
    <m/>
    <m/>
    <m/>
    <m/>
    <m/>
    <m/>
    <m/>
    <m/>
    <m/>
    <m/>
    <m/>
    <m/>
    <m/>
    <m/>
    <m/>
    <m/>
    <m/>
    <m/>
    <m/>
    <m/>
    <m/>
    <m/>
    <m/>
    <m/>
    <m/>
    <m/>
    <m/>
    <m/>
    <m/>
    <m/>
  </r>
  <r>
    <x v="104"/>
    <m/>
    <m/>
    <m/>
    <m/>
    <m/>
    <m/>
    <m/>
    <m/>
    <m/>
    <m/>
    <m/>
    <m/>
    <m/>
    <m/>
    <m/>
    <m/>
    <m/>
    <m/>
    <m/>
    <m/>
    <m/>
    <m/>
    <m/>
    <m/>
    <m/>
    <m/>
    <m/>
    <m/>
    <m/>
    <m/>
    <m/>
    <m/>
    <m/>
    <m/>
    <m/>
    <m/>
    <m/>
    <m/>
    <m/>
    <m/>
    <m/>
    <m/>
    <m/>
    <m/>
    <m/>
    <m/>
    <m/>
    <m/>
    <m/>
  </r>
  <r>
    <x v="105"/>
    <m/>
    <m/>
    <m/>
    <m/>
    <m/>
    <m/>
    <m/>
    <m/>
    <m/>
    <m/>
    <m/>
    <m/>
    <m/>
    <m/>
    <m/>
    <m/>
    <m/>
    <m/>
    <m/>
    <m/>
    <m/>
    <m/>
    <m/>
    <m/>
    <m/>
    <m/>
    <m/>
    <m/>
    <m/>
    <m/>
    <m/>
    <m/>
    <m/>
    <m/>
    <m/>
    <m/>
    <m/>
    <m/>
    <m/>
    <m/>
    <m/>
    <m/>
    <m/>
    <m/>
    <m/>
    <m/>
    <m/>
    <m/>
    <m/>
  </r>
  <r>
    <x v="106"/>
    <m/>
    <m/>
    <m/>
    <m/>
    <m/>
    <m/>
    <m/>
    <m/>
    <m/>
    <m/>
    <m/>
    <m/>
    <m/>
    <m/>
    <m/>
    <m/>
    <m/>
    <m/>
    <m/>
    <m/>
    <m/>
    <m/>
    <m/>
    <m/>
    <m/>
    <m/>
    <m/>
    <m/>
    <m/>
    <m/>
    <m/>
    <m/>
    <m/>
    <m/>
    <m/>
    <m/>
    <m/>
    <m/>
    <m/>
    <m/>
    <m/>
    <m/>
    <m/>
    <m/>
    <m/>
    <m/>
    <m/>
    <m/>
    <m/>
  </r>
  <r>
    <x v="107"/>
    <m/>
    <m/>
    <m/>
    <m/>
    <m/>
    <m/>
    <m/>
    <m/>
    <m/>
    <m/>
    <m/>
    <m/>
    <m/>
    <m/>
    <m/>
    <m/>
    <m/>
    <m/>
    <m/>
    <m/>
    <m/>
    <m/>
    <m/>
    <m/>
    <m/>
    <m/>
    <m/>
    <m/>
    <m/>
    <m/>
    <m/>
    <m/>
    <m/>
    <m/>
    <m/>
    <m/>
    <m/>
    <m/>
    <m/>
    <m/>
    <m/>
    <m/>
    <m/>
    <m/>
    <m/>
    <m/>
    <m/>
    <m/>
    <m/>
  </r>
  <r>
    <x v="108"/>
    <m/>
    <m/>
    <m/>
    <m/>
    <m/>
    <m/>
    <m/>
    <m/>
    <m/>
    <m/>
    <m/>
    <m/>
    <m/>
    <m/>
    <m/>
    <m/>
    <m/>
    <m/>
    <m/>
    <m/>
    <m/>
    <m/>
    <m/>
    <m/>
    <m/>
    <m/>
    <m/>
    <m/>
    <m/>
    <m/>
    <m/>
    <m/>
    <m/>
    <m/>
    <m/>
    <m/>
    <m/>
    <m/>
    <m/>
    <m/>
    <m/>
    <m/>
    <m/>
    <m/>
    <m/>
    <m/>
    <m/>
    <m/>
    <m/>
  </r>
  <r>
    <x v="109"/>
    <m/>
    <m/>
    <m/>
    <m/>
    <m/>
    <m/>
    <m/>
    <m/>
    <m/>
    <m/>
    <m/>
    <m/>
    <m/>
    <m/>
    <m/>
    <m/>
    <m/>
    <m/>
    <m/>
    <m/>
    <m/>
    <m/>
    <m/>
    <m/>
    <m/>
    <m/>
    <m/>
    <m/>
    <m/>
    <m/>
    <m/>
    <m/>
    <m/>
    <m/>
    <m/>
    <m/>
    <m/>
    <m/>
    <m/>
    <m/>
    <m/>
    <m/>
    <m/>
    <m/>
    <m/>
    <m/>
    <m/>
    <m/>
    <m/>
  </r>
  <r>
    <x v="110"/>
    <m/>
    <m/>
    <m/>
    <m/>
    <m/>
    <m/>
    <m/>
    <m/>
    <m/>
    <m/>
    <m/>
    <m/>
    <m/>
    <m/>
    <m/>
    <m/>
    <m/>
    <m/>
    <m/>
    <m/>
    <m/>
    <m/>
    <m/>
    <m/>
    <m/>
    <m/>
    <m/>
    <m/>
    <m/>
    <m/>
    <m/>
    <m/>
    <m/>
    <m/>
    <m/>
    <m/>
    <m/>
    <m/>
    <m/>
    <m/>
    <m/>
    <m/>
    <m/>
    <m/>
    <m/>
    <m/>
    <m/>
    <m/>
    <m/>
  </r>
  <r>
    <x v="111"/>
    <m/>
    <m/>
    <m/>
    <m/>
    <m/>
    <m/>
    <m/>
    <m/>
    <m/>
    <m/>
    <m/>
    <m/>
    <m/>
    <m/>
    <m/>
    <m/>
    <m/>
    <m/>
    <m/>
    <m/>
    <m/>
    <m/>
    <m/>
    <m/>
    <m/>
    <m/>
    <m/>
    <m/>
    <m/>
    <m/>
    <m/>
    <m/>
    <m/>
    <m/>
    <m/>
    <m/>
    <m/>
    <m/>
    <m/>
    <m/>
    <m/>
    <m/>
    <m/>
    <m/>
    <m/>
    <m/>
    <m/>
    <m/>
    <m/>
  </r>
  <r>
    <x v="112"/>
    <m/>
    <m/>
    <m/>
    <m/>
    <m/>
    <m/>
    <m/>
    <m/>
    <m/>
    <m/>
    <m/>
    <m/>
    <m/>
    <m/>
    <m/>
    <m/>
    <m/>
    <m/>
    <m/>
    <m/>
    <m/>
    <m/>
    <m/>
    <m/>
    <m/>
    <m/>
    <m/>
    <m/>
    <m/>
    <m/>
    <m/>
    <m/>
    <m/>
    <m/>
    <m/>
    <m/>
    <m/>
    <m/>
    <m/>
    <m/>
    <m/>
    <m/>
    <m/>
    <m/>
    <m/>
    <m/>
    <m/>
    <m/>
    <m/>
  </r>
  <r>
    <x v="113"/>
    <m/>
    <m/>
    <m/>
    <m/>
    <m/>
    <m/>
    <m/>
    <m/>
    <m/>
    <m/>
    <m/>
    <m/>
    <m/>
    <m/>
    <m/>
    <m/>
    <m/>
    <m/>
    <m/>
    <m/>
    <m/>
    <m/>
    <m/>
    <m/>
    <m/>
    <m/>
    <m/>
    <m/>
    <m/>
    <m/>
    <m/>
    <m/>
    <m/>
    <m/>
    <m/>
    <m/>
    <m/>
    <m/>
    <m/>
    <m/>
    <m/>
    <m/>
    <m/>
    <m/>
    <m/>
    <m/>
    <m/>
    <m/>
    <m/>
  </r>
  <r>
    <x v="114"/>
    <m/>
    <m/>
    <m/>
    <m/>
    <m/>
    <m/>
    <m/>
    <m/>
    <m/>
    <m/>
    <m/>
    <m/>
    <m/>
    <m/>
    <m/>
    <m/>
    <m/>
    <m/>
    <m/>
    <m/>
    <m/>
    <m/>
    <m/>
    <m/>
    <m/>
    <m/>
    <m/>
    <m/>
    <m/>
    <m/>
    <m/>
    <m/>
    <m/>
    <m/>
    <m/>
    <m/>
    <m/>
    <m/>
    <m/>
    <m/>
    <m/>
    <m/>
    <m/>
    <m/>
    <m/>
    <m/>
    <m/>
    <m/>
    <m/>
  </r>
  <r>
    <x v="115"/>
    <m/>
    <m/>
    <m/>
    <m/>
    <m/>
    <m/>
    <m/>
    <m/>
    <m/>
    <m/>
    <m/>
    <m/>
    <m/>
    <m/>
    <m/>
    <m/>
    <m/>
    <m/>
    <m/>
    <m/>
    <m/>
    <m/>
    <m/>
    <m/>
    <m/>
    <m/>
    <m/>
    <m/>
    <m/>
    <m/>
    <m/>
    <m/>
    <m/>
    <m/>
    <m/>
    <m/>
    <m/>
    <m/>
    <m/>
    <m/>
    <m/>
    <m/>
    <m/>
    <m/>
    <m/>
    <m/>
    <m/>
    <m/>
    <m/>
  </r>
  <r>
    <x v="116"/>
    <m/>
    <m/>
    <m/>
    <m/>
    <m/>
    <m/>
    <m/>
    <m/>
    <m/>
    <m/>
    <m/>
    <m/>
    <m/>
    <m/>
    <m/>
    <m/>
    <m/>
    <m/>
    <m/>
    <m/>
    <m/>
    <m/>
    <m/>
    <m/>
    <m/>
    <m/>
    <m/>
    <m/>
    <m/>
    <m/>
    <m/>
    <m/>
    <m/>
    <m/>
    <m/>
    <m/>
    <m/>
    <m/>
    <m/>
    <m/>
    <m/>
    <m/>
    <m/>
    <m/>
    <m/>
    <m/>
    <m/>
    <m/>
    <m/>
  </r>
  <r>
    <x v="117"/>
    <m/>
    <m/>
    <m/>
    <m/>
    <m/>
    <m/>
    <m/>
    <m/>
    <m/>
    <m/>
    <m/>
    <m/>
    <m/>
    <m/>
    <m/>
    <m/>
    <m/>
    <m/>
    <m/>
    <m/>
    <m/>
    <m/>
    <m/>
    <m/>
    <m/>
    <m/>
    <m/>
    <m/>
    <m/>
    <m/>
    <m/>
    <m/>
    <m/>
    <m/>
    <m/>
    <m/>
    <m/>
    <m/>
    <m/>
    <m/>
    <m/>
    <m/>
    <m/>
    <m/>
    <m/>
    <m/>
    <m/>
    <m/>
    <m/>
  </r>
  <r>
    <x v="118"/>
    <m/>
    <m/>
    <m/>
    <m/>
    <m/>
    <m/>
    <m/>
    <m/>
    <m/>
    <m/>
    <m/>
    <m/>
    <m/>
    <m/>
    <m/>
    <m/>
    <m/>
    <m/>
    <m/>
    <m/>
    <m/>
    <m/>
    <m/>
    <m/>
    <m/>
    <m/>
    <m/>
    <m/>
    <m/>
    <m/>
    <m/>
    <m/>
    <m/>
    <m/>
    <m/>
    <m/>
    <m/>
    <m/>
    <m/>
    <m/>
    <m/>
    <m/>
    <m/>
    <m/>
    <m/>
    <m/>
    <m/>
    <m/>
    <m/>
  </r>
  <r>
    <x v="119"/>
    <m/>
    <m/>
    <m/>
    <m/>
    <m/>
    <m/>
    <m/>
    <m/>
    <m/>
    <m/>
    <m/>
    <m/>
    <m/>
    <m/>
    <m/>
    <m/>
    <m/>
    <m/>
    <m/>
    <m/>
    <m/>
    <m/>
    <m/>
    <m/>
    <m/>
    <m/>
    <m/>
    <m/>
    <m/>
    <m/>
    <m/>
    <m/>
    <m/>
    <m/>
    <m/>
    <m/>
    <m/>
    <m/>
    <m/>
    <m/>
    <m/>
    <m/>
    <m/>
    <m/>
    <m/>
    <m/>
    <m/>
    <m/>
    <m/>
  </r>
  <r>
    <x v="120"/>
    <m/>
    <m/>
    <m/>
    <m/>
    <m/>
    <m/>
    <m/>
    <m/>
    <m/>
    <m/>
    <m/>
    <m/>
    <m/>
    <m/>
    <m/>
    <m/>
    <m/>
    <m/>
    <m/>
    <m/>
    <m/>
    <m/>
    <m/>
    <m/>
    <m/>
    <m/>
    <m/>
    <m/>
    <m/>
    <m/>
    <m/>
    <m/>
    <m/>
    <m/>
    <m/>
    <m/>
    <m/>
    <m/>
    <m/>
    <m/>
    <m/>
    <m/>
    <m/>
    <m/>
    <m/>
    <m/>
    <m/>
    <m/>
    <m/>
  </r>
  <r>
    <x v="121"/>
    <m/>
    <m/>
    <m/>
    <m/>
    <m/>
    <m/>
    <m/>
    <m/>
    <m/>
    <m/>
    <m/>
    <m/>
    <m/>
    <m/>
    <m/>
    <m/>
    <m/>
    <m/>
    <m/>
    <m/>
    <m/>
    <m/>
    <m/>
    <m/>
    <m/>
    <m/>
    <m/>
    <m/>
    <m/>
    <m/>
    <m/>
    <m/>
    <m/>
    <m/>
    <m/>
    <m/>
    <m/>
    <m/>
    <m/>
    <m/>
    <m/>
    <m/>
    <m/>
    <m/>
    <m/>
    <m/>
    <m/>
    <m/>
    <m/>
  </r>
  <r>
    <x v="122"/>
    <m/>
    <m/>
    <m/>
    <m/>
    <m/>
    <m/>
    <m/>
    <m/>
    <m/>
    <m/>
    <m/>
    <m/>
    <m/>
    <m/>
    <m/>
    <m/>
    <m/>
    <m/>
    <m/>
    <m/>
    <m/>
    <m/>
    <m/>
    <m/>
    <m/>
    <m/>
    <m/>
    <m/>
    <m/>
    <m/>
    <m/>
    <m/>
    <m/>
    <m/>
    <m/>
    <m/>
    <m/>
    <m/>
    <m/>
    <m/>
    <m/>
    <m/>
    <m/>
    <m/>
    <m/>
    <m/>
    <m/>
    <m/>
    <m/>
  </r>
  <r>
    <x v="123"/>
    <m/>
    <m/>
    <m/>
    <m/>
    <m/>
    <m/>
    <m/>
    <m/>
    <m/>
    <m/>
    <m/>
    <m/>
    <m/>
    <m/>
    <m/>
    <m/>
    <m/>
    <m/>
    <m/>
    <m/>
    <m/>
    <m/>
    <m/>
    <m/>
    <m/>
    <m/>
    <m/>
    <m/>
    <m/>
    <m/>
    <m/>
    <m/>
    <m/>
    <m/>
    <m/>
    <m/>
    <m/>
    <m/>
    <m/>
    <m/>
    <m/>
    <m/>
    <m/>
    <m/>
    <m/>
    <m/>
    <m/>
    <m/>
    <m/>
  </r>
  <r>
    <x v="124"/>
    <m/>
    <m/>
    <m/>
    <m/>
    <m/>
    <m/>
    <m/>
    <m/>
    <m/>
    <m/>
    <m/>
    <m/>
    <m/>
    <m/>
    <m/>
    <m/>
    <m/>
    <m/>
    <m/>
    <m/>
    <m/>
    <m/>
    <m/>
    <m/>
    <m/>
    <m/>
    <m/>
    <m/>
    <m/>
    <m/>
    <m/>
    <m/>
    <m/>
    <m/>
    <m/>
    <m/>
    <m/>
    <m/>
    <m/>
    <m/>
    <m/>
    <m/>
    <m/>
    <m/>
    <m/>
    <m/>
    <m/>
    <m/>
    <m/>
  </r>
  <r>
    <x v="125"/>
    <m/>
    <m/>
    <m/>
    <m/>
    <m/>
    <m/>
    <m/>
    <m/>
    <m/>
    <m/>
    <m/>
    <m/>
    <m/>
    <m/>
    <m/>
    <m/>
    <m/>
    <m/>
    <m/>
    <m/>
    <m/>
    <m/>
    <m/>
    <m/>
    <m/>
    <m/>
    <m/>
    <m/>
    <m/>
    <m/>
    <m/>
    <m/>
    <m/>
    <m/>
    <m/>
    <m/>
    <m/>
    <m/>
    <m/>
    <m/>
    <m/>
    <m/>
    <m/>
    <m/>
    <m/>
    <m/>
    <m/>
    <m/>
    <m/>
  </r>
  <r>
    <x v="126"/>
    <m/>
    <m/>
    <m/>
    <m/>
    <m/>
    <m/>
    <m/>
    <m/>
    <m/>
    <m/>
    <m/>
    <m/>
    <m/>
    <m/>
    <m/>
    <m/>
    <m/>
    <m/>
    <m/>
    <m/>
    <m/>
    <m/>
    <m/>
    <m/>
    <m/>
    <m/>
    <m/>
    <m/>
    <m/>
    <m/>
    <m/>
    <m/>
    <m/>
    <m/>
    <m/>
    <m/>
    <m/>
    <m/>
    <m/>
    <m/>
    <m/>
    <m/>
    <m/>
    <m/>
    <m/>
    <m/>
    <m/>
    <m/>
    <m/>
  </r>
  <r>
    <x v="127"/>
    <m/>
    <m/>
    <m/>
    <m/>
    <m/>
    <m/>
    <m/>
    <m/>
    <m/>
    <m/>
    <m/>
    <m/>
    <m/>
    <m/>
    <m/>
    <m/>
    <m/>
    <m/>
    <m/>
    <m/>
    <m/>
    <m/>
    <m/>
    <m/>
    <m/>
    <m/>
    <m/>
    <m/>
    <m/>
    <m/>
    <m/>
    <m/>
    <m/>
    <m/>
    <m/>
    <m/>
    <m/>
    <m/>
    <m/>
    <m/>
    <m/>
    <m/>
    <m/>
    <m/>
    <m/>
    <m/>
    <m/>
    <m/>
    <m/>
  </r>
  <r>
    <x v="128"/>
    <m/>
    <m/>
    <m/>
    <m/>
    <m/>
    <m/>
    <m/>
    <m/>
    <m/>
    <m/>
    <m/>
    <m/>
    <m/>
    <m/>
    <m/>
    <m/>
    <m/>
    <m/>
    <m/>
    <m/>
    <m/>
    <m/>
    <m/>
    <m/>
    <m/>
    <m/>
    <m/>
    <m/>
    <m/>
    <m/>
    <m/>
    <m/>
    <m/>
    <m/>
    <m/>
    <m/>
    <m/>
    <m/>
    <m/>
    <m/>
    <m/>
    <m/>
    <m/>
    <m/>
    <m/>
    <m/>
    <m/>
    <m/>
    <m/>
  </r>
  <r>
    <x v="129"/>
    <m/>
    <m/>
    <m/>
    <m/>
    <m/>
    <m/>
    <m/>
    <m/>
    <m/>
    <m/>
    <m/>
    <m/>
    <m/>
    <m/>
    <m/>
    <m/>
    <m/>
    <m/>
    <m/>
    <m/>
    <m/>
    <m/>
    <m/>
    <m/>
    <m/>
    <m/>
    <m/>
    <m/>
    <m/>
    <m/>
    <m/>
    <m/>
    <m/>
    <m/>
    <m/>
    <m/>
    <m/>
    <m/>
    <m/>
    <m/>
    <m/>
    <m/>
    <m/>
    <m/>
    <m/>
    <m/>
    <m/>
    <m/>
    <m/>
  </r>
  <r>
    <x v="130"/>
    <m/>
    <m/>
    <m/>
    <m/>
    <m/>
    <m/>
    <m/>
    <m/>
    <m/>
    <m/>
    <m/>
    <m/>
    <m/>
    <m/>
    <m/>
    <m/>
    <m/>
    <m/>
    <m/>
    <m/>
    <m/>
    <m/>
    <m/>
    <m/>
    <m/>
    <m/>
    <m/>
    <m/>
    <m/>
    <m/>
    <m/>
    <m/>
    <m/>
    <m/>
    <m/>
    <m/>
    <m/>
    <m/>
    <m/>
    <m/>
    <m/>
    <m/>
    <m/>
    <m/>
    <m/>
    <m/>
    <m/>
    <m/>
    <m/>
  </r>
  <r>
    <x v="131"/>
    <m/>
    <m/>
    <m/>
    <m/>
    <m/>
    <m/>
    <m/>
    <m/>
    <m/>
    <m/>
    <m/>
    <m/>
    <m/>
    <m/>
    <m/>
    <m/>
    <m/>
    <m/>
    <m/>
    <m/>
    <m/>
    <m/>
    <m/>
    <m/>
    <m/>
    <m/>
    <m/>
    <m/>
    <m/>
    <m/>
    <m/>
    <m/>
    <m/>
    <m/>
    <m/>
    <m/>
    <m/>
    <m/>
    <m/>
    <m/>
    <m/>
    <m/>
    <m/>
    <m/>
    <m/>
    <m/>
    <m/>
    <m/>
    <m/>
  </r>
  <r>
    <x v="132"/>
    <m/>
    <m/>
    <m/>
    <m/>
    <m/>
    <m/>
    <m/>
    <m/>
    <m/>
    <m/>
    <m/>
    <m/>
    <m/>
    <m/>
    <m/>
    <m/>
    <m/>
    <m/>
    <m/>
    <m/>
    <m/>
    <m/>
    <m/>
    <m/>
    <m/>
    <m/>
    <m/>
    <m/>
    <m/>
    <m/>
    <m/>
    <m/>
    <m/>
    <m/>
    <m/>
    <m/>
    <m/>
    <m/>
    <m/>
    <m/>
    <m/>
    <m/>
    <m/>
    <m/>
    <m/>
    <m/>
    <m/>
    <m/>
    <m/>
  </r>
  <r>
    <x v="133"/>
    <m/>
    <m/>
    <m/>
    <m/>
    <m/>
    <m/>
    <m/>
    <m/>
    <m/>
    <m/>
    <m/>
    <m/>
    <m/>
    <m/>
    <m/>
    <m/>
    <m/>
    <m/>
    <m/>
    <m/>
    <m/>
    <m/>
    <m/>
    <m/>
    <m/>
    <m/>
    <m/>
    <m/>
    <m/>
    <m/>
    <m/>
    <m/>
    <m/>
    <m/>
    <m/>
    <m/>
    <m/>
    <m/>
    <m/>
    <m/>
    <m/>
    <m/>
    <m/>
    <m/>
    <m/>
    <m/>
    <m/>
    <m/>
    <m/>
  </r>
  <r>
    <x v="134"/>
    <m/>
    <m/>
    <m/>
    <m/>
    <m/>
    <m/>
    <m/>
    <m/>
    <m/>
    <m/>
    <m/>
    <m/>
    <m/>
    <m/>
    <m/>
    <m/>
    <m/>
    <m/>
    <m/>
    <m/>
    <m/>
    <m/>
    <m/>
    <m/>
    <m/>
    <m/>
    <m/>
    <m/>
    <m/>
    <m/>
    <m/>
    <m/>
    <m/>
    <m/>
    <m/>
    <m/>
    <m/>
    <m/>
    <m/>
    <m/>
    <m/>
    <m/>
    <m/>
    <m/>
    <m/>
    <m/>
    <m/>
    <m/>
    <m/>
  </r>
  <r>
    <x v="135"/>
    <m/>
    <m/>
    <m/>
    <m/>
    <m/>
    <m/>
    <m/>
    <m/>
    <m/>
    <m/>
    <m/>
    <m/>
    <m/>
    <m/>
    <m/>
    <m/>
    <m/>
    <m/>
    <m/>
    <m/>
    <m/>
    <m/>
    <m/>
    <m/>
    <m/>
    <m/>
    <m/>
    <m/>
    <m/>
    <m/>
    <m/>
    <m/>
    <m/>
    <m/>
    <m/>
    <m/>
    <m/>
    <m/>
    <m/>
    <m/>
    <m/>
    <m/>
    <m/>
    <m/>
    <m/>
    <m/>
    <m/>
    <m/>
    <m/>
  </r>
  <r>
    <x v="136"/>
    <m/>
    <m/>
    <m/>
    <m/>
    <m/>
    <m/>
    <m/>
    <m/>
    <m/>
    <m/>
    <m/>
    <m/>
    <m/>
    <m/>
    <m/>
    <m/>
    <m/>
    <m/>
    <m/>
    <m/>
    <m/>
    <m/>
    <m/>
    <m/>
    <m/>
    <m/>
    <m/>
    <m/>
    <m/>
    <m/>
    <m/>
    <m/>
    <m/>
    <m/>
    <m/>
    <m/>
    <m/>
    <m/>
    <m/>
    <m/>
    <m/>
    <m/>
    <m/>
    <m/>
    <m/>
    <m/>
    <m/>
    <m/>
    <m/>
  </r>
  <r>
    <x v="137"/>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D160C0-CD93-42DA-8C42-7C9446AA7C44}"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K25" firstHeaderRow="0" firstDataRow="1" firstDataCol="1"/>
  <pivotFields count="51">
    <pivotField numFmtId="14" showAll="0">
      <items count="139">
        <item x="0"/>
        <item x="5"/>
        <item x="8"/>
        <item x="12"/>
        <item x="13"/>
        <item x="14"/>
        <item x="15"/>
        <item x="16"/>
        <item x="17"/>
        <item x="18"/>
        <item x="19"/>
        <item x="20"/>
        <item x="21"/>
        <item x="22"/>
        <item x="24"/>
        <item x="26"/>
        <item x="27"/>
        <item x="28"/>
        <item x="29"/>
        <item x="33"/>
        <item x="34"/>
        <item x="35"/>
        <item x="36"/>
        <item x="61"/>
        <item x="137"/>
        <item x="38"/>
        <item x="39"/>
        <item x="40"/>
        <item x="44"/>
        <item x="47"/>
        <item x="48"/>
        <item x="1"/>
        <item x="2"/>
        <item x="3"/>
        <item x="4"/>
        <item x="6"/>
        <item x="7"/>
        <item x="9"/>
        <item x="10"/>
        <item x="11"/>
        <item x="23"/>
        <item x="25"/>
        <item x="30"/>
        <item x="31"/>
        <item x="32"/>
        <item x="37"/>
        <item x="41"/>
        <item x="42"/>
        <item x="43"/>
        <item x="45"/>
        <item x="46"/>
        <item x="49"/>
        <item x="50"/>
        <item x="51"/>
        <item x="52"/>
        <item x="53"/>
        <item x="54"/>
        <item x="55"/>
        <item x="56"/>
        <item x="57"/>
        <item x="58"/>
        <item x="59"/>
        <item x="60"/>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pivotField dataField="1"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dataField="1" numFmtId="2" showAll="0"/>
    <pivotField numFmtId="43" showAll="0"/>
    <pivotField dataField="1" numFmtId="43" showAll="0"/>
    <pivotField dataField="1" numFmtId="43" showAll="0"/>
    <pivotField dataField="1" numFmtId="43" showAll="0"/>
    <pivotField numFmtId="9" showAll="0"/>
    <pivotField showAll="0"/>
    <pivotField numFmtId="43" showAll="0"/>
    <pivotField showAll="0"/>
    <pivotField showAll="0"/>
    <pivotField numFmtId="43" showAll="0"/>
    <pivotField numFmtId="43"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3">
        <item x="0"/>
        <item x="1"/>
        <item x="2"/>
        <item x="3"/>
        <item x="4"/>
        <item x="5"/>
        <item x="6"/>
        <item x="7"/>
        <item x="8"/>
        <item x="9"/>
        <item x="10"/>
        <item x="11"/>
        <item x="12"/>
        <item x="13"/>
        <item x="14"/>
        <item x="15"/>
        <item x="16"/>
        <item x="17"/>
        <item x="18"/>
        <item x="19"/>
        <item x="20"/>
        <item x="21"/>
        <item t="default"/>
      </items>
    </pivotField>
  </pivotFields>
  <rowFields count="1">
    <field x="5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9">
    <i>
      <x/>
    </i>
    <i i="1">
      <x v="1"/>
    </i>
    <i i="2">
      <x v="2"/>
    </i>
    <i i="3">
      <x v="3"/>
    </i>
    <i i="4">
      <x v="4"/>
    </i>
    <i i="5">
      <x v="5"/>
    </i>
    <i i="6">
      <x v="6"/>
    </i>
    <i i="7">
      <x v="7"/>
    </i>
    <i i="8">
      <x v="8"/>
    </i>
  </colItems>
  <dataFields count="9">
    <dataField name=" Miles Driven" fld="2" baseField="25" baseItem="1"/>
    <dataField name=" Total Charge Cost" fld="20" baseField="25" baseItem="1" numFmtId="2"/>
    <dataField name=" Est Gallons of gas" fld="22" baseField="25" baseItem="1" numFmtId="43"/>
    <dataField name=" Est Gas Cost" fld="23" baseField="25" baseItem="1" numFmtId="43"/>
    <dataField name=" Charge / Gas Cost Difference" fld="24" baseField="25" baseItem="1" numFmtId="43"/>
    <dataField name="Sum of Super Charger KWh" fld="3" baseField="0" baseItem="0"/>
    <dataField name="Sum of Home KWh" fld="6" baseField="0" baseItem="0"/>
    <dataField name="Average of Miles per KWh" fld="15" subtotal="average" baseField="34" baseItem="1" numFmtId="2"/>
    <dataField name="Sum of Charge Cost Home" fld="19" baseField="34" baseItem="1" numFmtId="2"/>
  </dataFields>
  <formats count="4">
    <format dxfId="9">
      <pivotArea dataOnly="0" labelOnly="1" outline="0" fieldPosition="0">
        <references count="1">
          <reference field="4294967294" count="5">
            <x v="0"/>
            <x v="1"/>
            <x v="2"/>
            <x v="3"/>
            <x v="4"/>
          </reference>
        </references>
      </pivotArea>
    </format>
    <format dxfId="8">
      <pivotArea dataOnly="0" labelOnly="1" outline="0" fieldPosition="0">
        <references count="1">
          <reference field="4294967294" count="4">
            <x v="5"/>
            <x v="6"/>
            <x v="7"/>
            <x v="8"/>
          </reference>
        </references>
      </pivotArea>
    </format>
    <format dxfId="7">
      <pivotArea outline="0" fieldPosition="0">
        <references count="1">
          <reference field="4294967294" count="1">
            <x v="7"/>
          </reference>
        </references>
      </pivotArea>
    </format>
    <format dxfId="6">
      <pivotArea outline="0" fieldPosition="0">
        <references count="1">
          <reference field="4294967294" count="1">
            <x v="8"/>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P2" dT="2025-09-29T18:01:17.31" personId="{9A3F20CE-0939-4455-86AF-EE4E31C1F751}" id="{285DF55E-E0D1-4710-9CDF-AC0B8853FD2D}">
    <text>Variability could be due to a number of things
- Driving Habits (Accelerator usage)
- highway vs city driving where there is less regen braking
- using A/C while parked
- Battery preconditioning while unplugged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85E22-C64A-4A48-B537-F03A3779904C}">
  <dimension ref="A2:AX141"/>
  <sheetViews>
    <sheetView zoomScale="90" zoomScaleNormal="90" workbookViewId="0">
      <pane ySplit="4" topLeftCell="A5" activePane="bottomLeft" state="frozen"/>
      <selection pane="bottomLeft" activeCell="A7" sqref="A7"/>
    </sheetView>
  </sheetViews>
  <sheetFormatPr defaultRowHeight="14.4" x14ac:dyDescent="0.3"/>
  <cols>
    <col min="1" max="1" width="12.88671875" customWidth="1"/>
    <col min="2" max="2" width="10.88671875" customWidth="1"/>
    <col min="4" max="4" width="13.44140625" customWidth="1"/>
    <col min="12" max="12" width="10.5546875" customWidth="1"/>
    <col min="15" max="15" width="11.77734375" customWidth="1"/>
    <col min="17" max="17" width="14.44140625" customWidth="1"/>
    <col min="18" max="18" width="12.77734375" customWidth="1"/>
    <col min="19" max="19" width="12.109375" customWidth="1"/>
    <col min="20" max="20" width="12.77734375" customWidth="1"/>
    <col min="21" max="21" width="11.77734375" customWidth="1"/>
    <col min="22" max="22" width="11.5546875" customWidth="1"/>
    <col min="23" max="23" width="12.21875" customWidth="1"/>
    <col min="25" max="25" width="15.77734375" customWidth="1"/>
    <col min="27" max="27" width="11.21875" customWidth="1"/>
    <col min="30" max="30" width="12.33203125" customWidth="1"/>
    <col min="31" max="31" width="13.44140625" customWidth="1"/>
    <col min="32" max="32" width="17.33203125" customWidth="1"/>
    <col min="33" max="33" width="17.88671875" customWidth="1"/>
    <col min="34" max="34" width="13.21875" customWidth="1"/>
    <col min="35" max="35" width="14.33203125" customWidth="1"/>
    <col min="36" max="36" width="12" customWidth="1"/>
    <col min="37" max="37" width="14.6640625" customWidth="1"/>
    <col min="38" max="38" width="13.6640625" customWidth="1"/>
    <col min="39" max="39" width="21.109375" customWidth="1"/>
    <col min="40" max="40" width="15.33203125" customWidth="1"/>
    <col min="41" max="41" width="13.6640625" customWidth="1"/>
    <col min="42" max="44" width="12.21875" customWidth="1"/>
    <col min="45" max="45" width="15.21875" bestFit="1" customWidth="1"/>
    <col min="46" max="46" width="14.21875" customWidth="1"/>
    <col min="47" max="47" width="12.21875" customWidth="1"/>
    <col min="48" max="48" width="20.44140625" customWidth="1"/>
    <col min="49" max="49" width="18.44140625" customWidth="1"/>
    <col min="50" max="50" width="12.21875" customWidth="1"/>
  </cols>
  <sheetData>
    <row r="2" spans="1:50" s="157" customFormat="1" ht="15" thickBot="1" x14ac:dyDescent="0.35">
      <c r="A2" s="164"/>
      <c r="B2" s="176">
        <f>MAX(B5:B6000)</f>
        <v>1775</v>
      </c>
      <c r="C2" s="176">
        <f>SUM(C5:C6000)</f>
        <v>1775</v>
      </c>
      <c r="D2" s="165">
        <f>SUM(D5:D6000)</f>
        <v>143</v>
      </c>
      <c r="E2" s="165">
        <f>SUM(E5:E6000)</f>
        <v>107</v>
      </c>
      <c r="F2" s="165">
        <f>SUM(F5:F6000)</f>
        <v>271</v>
      </c>
      <c r="G2" s="165">
        <f>SUM(G5:G6000)</f>
        <v>378</v>
      </c>
      <c r="H2" s="165">
        <f t="shared" ref="H2" si="0">D2+G2</f>
        <v>521</v>
      </c>
      <c r="I2" s="165"/>
      <c r="J2" s="165"/>
      <c r="K2" s="165">
        <f>SUM(K5:K6000)</f>
        <v>669</v>
      </c>
      <c r="L2" s="165"/>
      <c r="M2" s="165"/>
      <c r="N2" s="165">
        <f>SUM(N5:N6000)</f>
        <v>159.19999999999999</v>
      </c>
      <c r="O2" s="165"/>
      <c r="P2" s="166">
        <f>C2/H2</f>
        <v>3.4069097888675626</v>
      </c>
      <c r="Q2" s="166">
        <f>AVERAGEIF(Q5:Q6000,"&gt;0")</f>
        <v>0.38758620689655177</v>
      </c>
      <c r="R2" s="166">
        <f>AVERAGEIF(R5:R6000,"&gt;0")</f>
        <v>0.13703226114043188</v>
      </c>
      <c r="S2" s="167">
        <f>D2*Q2</f>
        <v>55.424827586206902</v>
      </c>
      <c r="T2" s="167">
        <f>G2*R2</f>
        <v>51.798194711083248</v>
      </c>
      <c r="U2" s="167">
        <f t="shared" ref="U2" si="1">SUM(S2:T2)</f>
        <v>107.22302229729016</v>
      </c>
      <c r="V2" s="168">
        <f>AVERAGEIF(V5:V6000,"&gt;0")</f>
        <v>2.7437931034482768</v>
      </c>
      <c r="W2" s="168">
        <f>C2/MPG_Kia</f>
        <v>71</v>
      </c>
      <c r="X2" s="168">
        <f>V2*W2</f>
        <v>194.80931034482765</v>
      </c>
      <c r="Y2" s="169">
        <f>X2-U2</f>
        <v>87.586288047537494</v>
      </c>
      <c r="Z2" s="170">
        <f>(X2-U2)/X2</f>
        <v>0.44960011352898349</v>
      </c>
      <c r="AA2" s="169">
        <f>SUM(AA5:AA6000)</f>
        <v>96.65542794440384</v>
      </c>
      <c r="AB2" s="171">
        <f>SUM(AB5:AB6000)</f>
        <v>196.62999999999997</v>
      </c>
      <c r="AC2" s="171">
        <f t="shared" ref="AC2:AX2" si="2">SUM(AC5:AC6000)</f>
        <v>195.1592</v>
      </c>
      <c r="AD2" s="171">
        <f t="shared" si="2"/>
        <v>71.392571751101926</v>
      </c>
      <c r="AE2" s="171">
        <f t="shared" si="2"/>
        <v>-1.4708000000000068</v>
      </c>
      <c r="AF2" s="171">
        <f t="shared" si="2"/>
        <v>123.76662824889804</v>
      </c>
      <c r="AG2" s="171">
        <f t="shared" si="2"/>
        <v>125.2374282488981</v>
      </c>
      <c r="AH2" s="172">
        <f t="shared" si="2"/>
        <v>1391.6000000000001</v>
      </c>
      <c r="AI2" s="172">
        <f t="shared" si="2"/>
        <v>567.99999999999989</v>
      </c>
      <c r="AJ2" s="172">
        <f t="shared" si="2"/>
        <v>0</v>
      </c>
      <c r="AK2" s="172">
        <f t="shared" si="2"/>
        <v>1.42</v>
      </c>
      <c r="AL2" s="172">
        <f t="shared" si="2"/>
        <v>0.71</v>
      </c>
      <c r="AM2" s="172">
        <f t="shared" si="2"/>
        <v>0.14200000000000004</v>
      </c>
      <c r="AN2" s="172">
        <f t="shared" si="2"/>
        <v>7.1000000000000021E-2</v>
      </c>
      <c r="AO2" s="172">
        <f t="shared" si="2"/>
        <v>0.28400000000000009</v>
      </c>
      <c r="AP2" s="173">
        <f t="shared" si="2"/>
        <v>1777.6519999999998</v>
      </c>
      <c r="AQ2" s="173">
        <f t="shared" si="2"/>
        <v>207.98528400000001</v>
      </c>
      <c r="AR2" s="173">
        <f t="shared" si="2"/>
        <v>255.98188799999997</v>
      </c>
      <c r="AS2" s="173">
        <f t="shared" si="2"/>
        <v>8354.9643999999989</v>
      </c>
      <c r="AT2" s="173">
        <f t="shared" si="2"/>
        <v>0.14932276799999997</v>
      </c>
      <c r="AU2" s="173">
        <f t="shared" si="2"/>
        <v>0.17776520000000004</v>
      </c>
      <c r="AV2" s="173">
        <f t="shared" si="2"/>
        <v>8.8882599999999985E-3</v>
      </c>
      <c r="AW2" s="173">
        <f t="shared" si="2"/>
        <v>0</v>
      </c>
      <c r="AX2" s="173">
        <f t="shared" si="2"/>
        <v>0</v>
      </c>
    </row>
    <row r="3" spans="1:50" s="157" customFormat="1" ht="15" thickTop="1" x14ac:dyDescent="0.3">
      <c r="A3" s="174" t="s">
        <v>363</v>
      </c>
      <c r="B3" s="184" t="s">
        <v>8</v>
      </c>
      <c r="C3" s="184"/>
      <c r="D3" s="185" t="s">
        <v>7</v>
      </c>
      <c r="E3" s="185"/>
      <c r="F3" s="185"/>
      <c r="G3" s="185"/>
      <c r="H3" s="185"/>
      <c r="I3" s="185"/>
      <c r="J3" s="185"/>
      <c r="K3" s="185"/>
      <c r="L3" s="185"/>
      <c r="M3" s="185"/>
      <c r="N3" s="185"/>
      <c r="O3" s="185"/>
      <c r="P3" s="185"/>
      <c r="Q3" s="185"/>
      <c r="R3" s="185"/>
      <c r="S3" s="186" t="s">
        <v>9</v>
      </c>
      <c r="T3" s="186"/>
      <c r="U3" s="186"/>
      <c r="V3" s="187" t="s">
        <v>10</v>
      </c>
      <c r="W3" s="187"/>
      <c r="X3" s="187"/>
      <c r="Y3" s="188" t="s">
        <v>11</v>
      </c>
      <c r="Z3" s="189"/>
      <c r="AA3" s="175"/>
      <c r="AB3" s="180" t="s">
        <v>12</v>
      </c>
      <c r="AC3" s="180"/>
      <c r="AD3" s="180"/>
      <c r="AE3" s="180"/>
      <c r="AF3" s="180"/>
      <c r="AG3" s="180"/>
      <c r="AH3" s="181" t="s">
        <v>289</v>
      </c>
      <c r="AI3" s="181"/>
      <c r="AJ3" s="181"/>
      <c r="AK3" s="181"/>
      <c r="AL3" s="181"/>
      <c r="AM3" s="181"/>
      <c r="AN3" s="181"/>
      <c r="AO3" s="182"/>
      <c r="AP3" s="183" t="s">
        <v>290</v>
      </c>
      <c r="AQ3" s="183"/>
      <c r="AR3" s="183"/>
      <c r="AS3" s="183"/>
      <c r="AT3" s="183"/>
      <c r="AU3" s="183"/>
      <c r="AV3" s="183"/>
      <c r="AW3" s="183"/>
      <c r="AX3" s="183"/>
    </row>
    <row r="4" spans="1:50" s="157" customFormat="1" ht="28.8" x14ac:dyDescent="0.3">
      <c r="A4" s="174" t="s">
        <v>0</v>
      </c>
      <c r="B4" s="139" t="s">
        <v>21</v>
      </c>
      <c r="C4" s="139" t="s">
        <v>26</v>
      </c>
      <c r="D4" s="140" t="s">
        <v>48</v>
      </c>
      <c r="E4" s="140" t="s">
        <v>49</v>
      </c>
      <c r="F4" s="140" t="s">
        <v>50</v>
      </c>
      <c r="G4" s="140" t="s">
        <v>44</v>
      </c>
      <c r="H4" s="140" t="s">
        <v>45</v>
      </c>
      <c r="I4" s="140" t="s">
        <v>13</v>
      </c>
      <c r="J4" s="140" t="s">
        <v>14</v>
      </c>
      <c r="K4" s="140" t="s">
        <v>56</v>
      </c>
      <c r="L4" s="140" t="s">
        <v>39</v>
      </c>
      <c r="M4" s="140" t="s">
        <v>40</v>
      </c>
      <c r="N4" s="140" t="s">
        <v>41</v>
      </c>
      <c r="O4" s="140" t="s">
        <v>15</v>
      </c>
      <c r="P4" s="141" t="s">
        <v>57</v>
      </c>
      <c r="Q4" s="140" t="s">
        <v>46</v>
      </c>
      <c r="R4" s="140" t="s">
        <v>47</v>
      </c>
      <c r="S4" s="159" t="s">
        <v>43</v>
      </c>
      <c r="T4" s="142" t="s">
        <v>42</v>
      </c>
      <c r="U4" s="142" t="s">
        <v>4</v>
      </c>
      <c r="V4" s="143" t="s">
        <v>1</v>
      </c>
      <c r="W4" s="144" t="s">
        <v>2</v>
      </c>
      <c r="X4" s="143" t="s">
        <v>3</v>
      </c>
      <c r="Y4" s="145" t="s">
        <v>5</v>
      </c>
      <c r="Z4" s="145" t="s">
        <v>20</v>
      </c>
      <c r="AA4" s="145" t="s">
        <v>51</v>
      </c>
      <c r="AB4" s="146" t="s">
        <v>17</v>
      </c>
      <c r="AC4" s="146" t="s">
        <v>54</v>
      </c>
      <c r="AD4" s="146" t="s">
        <v>16</v>
      </c>
      <c r="AE4" s="146" t="s">
        <v>18</v>
      </c>
      <c r="AF4" s="146" t="s">
        <v>6</v>
      </c>
      <c r="AG4" s="146" t="s">
        <v>19</v>
      </c>
      <c r="AH4" s="147" t="s">
        <v>68</v>
      </c>
      <c r="AI4" s="147" t="s">
        <v>71</v>
      </c>
      <c r="AJ4" s="147" t="s">
        <v>366</v>
      </c>
      <c r="AK4" s="147" t="s">
        <v>74</v>
      </c>
      <c r="AL4" s="147" t="s">
        <v>77</v>
      </c>
      <c r="AM4" s="147" t="s">
        <v>80</v>
      </c>
      <c r="AN4" s="147" t="s">
        <v>83</v>
      </c>
      <c r="AO4" s="148" t="s">
        <v>86</v>
      </c>
      <c r="AP4" s="149" t="s">
        <v>288</v>
      </c>
      <c r="AQ4" s="149" t="s">
        <v>68</v>
      </c>
      <c r="AR4" s="149" t="s">
        <v>71</v>
      </c>
      <c r="AS4" s="149" t="s">
        <v>366</v>
      </c>
      <c r="AT4" s="149" t="s">
        <v>74</v>
      </c>
      <c r="AU4" s="149" t="s">
        <v>77</v>
      </c>
      <c r="AV4" s="149" t="s">
        <v>80</v>
      </c>
      <c r="AW4" s="149" t="s">
        <v>83</v>
      </c>
      <c r="AX4" s="149" t="s">
        <v>86</v>
      </c>
    </row>
    <row r="5" spans="1:50" x14ac:dyDescent="0.3">
      <c r="A5" s="178">
        <v>45900</v>
      </c>
      <c r="B5" s="109">
        <v>0</v>
      </c>
      <c r="C5" s="158" cm="1">
        <f t="array" ref="C5">IF(B5=0, 0, B5 - INDEX(B$4:B4, MAX(IF(B$4:B4&lt;&gt;0, ROW(B$4:B4)-ROW(B$4)+1))))</f>
        <v>0</v>
      </c>
      <c r="D5" s="109">
        <v>0</v>
      </c>
      <c r="E5" s="109">
        <v>0</v>
      </c>
      <c r="F5" s="109">
        <v>0</v>
      </c>
      <c r="G5" s="158">
        <f t="shared" ref="G5:G6" si="3">E5+F5</f>
        <v>0</v>
      </c>
      <c r="H5" s="158">
        <f t="shared" ref="H5:H6" si="4">D5+G5</f>
        <v>0</v>
      </c>
      <c r="I5" s="109">
        <v>0</v>
      </c>
      <c r="J5" s="109">
        <v>0</v>
      </c>
      <c r="K5" s="158">
        <f t="shared" ref="K5:K68" si="5">J5-I5</f>
        <v>0</v>
      </c>
      <c r="L5" s="16"/>
      <c r="M5" s="16"/>
      <c r="N5" s="4">
        <v>0</v>
      </c>
      <c r="O5" s="109">
        <v>0</v>
      </c>
      <c r="P5" s="137">
        <f>IF(H5&gt;0,C5/H5,0)</f>
        <v>0</v>
      </c>
      <c r="Q5" s="4">
        <v>0</v>
      </c>
      <c r="R5" s="177" cm="1">
        <f t="array" ref="R5">INDEX(FPLBillHistory_BilledPricePerKW_Range, MATCH(1, (A5&gt;=FPLBillHistory_BillFromDate_Range)*(A5&lt;=FPLBillHistory_BillToDate_Range), 0))</f>
        <v>0.13709934735315446</v>
      </c>
      <c r="S5" s="64">
        <f>D5*Q5</f>
        <v>0</v>
      </c>
      <c r="T5" s="3">
        <f>G5*R5</f>
        <v>0</v>
      </c>
      <c r="U5" s="3">
        <f t="shared" ref="U5" si="6">SUM(S5:T5)</f>
        <v>0</v>
      </c>
      <c r="V5" s="4">
        <v>0</v>
      </c>
      <c r="W5" s="3"/>
      <c r="X5" s="3"/>
      <c r="Y5" s="7">
        <f>X5-U5</f>
        <v>0</v>
      </c>
      <c r="Z5" s="5">
        <f>IFERROR((X5-U5)/X5,0)</f>
        <v>0</v>
      </c>
      <c r="AA5" s="7">
        <f>G5*Q5-G5*R5</f>
        <v>0</v>
      </c>
      <c r="AB5" s="3">
        <f>H5*Q5</f>
        <v>0</v>
      </c>
      <c r="AC5" s="3">
        <f t="shared" ref="AC5:AC6" si="7">V5*W5</f>
        <v>0</v>
      </c>
      <c r="AD5" s="3">
        <f>H5*R5</f>
        <v>0</v>
      </c>
      <c r="AE5" s="3">
        <f t="shared" ref="AE5:AE6" si="8">X5-AB5</f>
        <v>0</v>
      </c>
      <c r="AF5" s="3">
        <f t="shared" ref="AF5:AF6" si="9">X5-AD5</f>
        <v>0</v>
      </c>
      <c r="AG5" s="3">
        <f>AB5-AD5</f>
        <v>0</v>
      </c>
    </row>
    <row r="6" spans="1:50" x14ac:dyDescent="0.3">
      <c r="A6" s="178">
        <v>45901</v>
      </c>
      <c r="B6" s="109">
        <v>0</v>
      </c>
      <c r="C6" s="158" cm="1">
        <f t="array" ref="C6">IF(B6=0, 0, B6 - INDEX(B$4:B5, MAX(IF(B$4:B5&lt;&gt;0, ROW(B$4:B5)-ROW(B$4)+1))))</f>
        <v>0</v>
      </c>
      <c r="D6" s="109">
        <v>0</v>
      </c>
      <c r="E6" s="109">
        <v>0</v>
      </c>
      <c r="F6" s="109">
        <v>0</v>
      </c>
      <c r="G6" s="158">
        <f t="shared" si="3"/>
        <v>0</v>
      </c>
      <c r="H6" s="158">
        <f t="shared" si="4"/>
        <v>0</v>
      </c>
      <c r="I6" s="109">
        <v>0</v>
      </c>
      <c r="J6" s="109">
        <v>0</v>
      </c>
      <c r="K6" s="158">
        <f t="shared" si="5"/>
        <v>0</v>
      </c>
      <c r="L6" s="16"/>
      <c r="M6" s="16"/>
      <c r="N6" s="4">
        <v>0</v>
      </c>
      <c r="O6" s="109">
        <v>0</v>
      </c>
      <c r="P6" s="137">
        <f t="shared" ref="P6:P68" si="10">IF(H6&gt;0,C6/H6,0)</f>
        <v>0</v>
      </c>
      <c r="Q6" s="4">
        <v>0</v>
      </c>
      <c r="R6" s="177" cm="1">
        <f t="array" ref="R6">INDEX(FPLBillHistory_BilledPricePerKW_Range, MATCH(1, (A6&gt;=FPLBillHistory_BillFromDate_Range)*(A6&lt;=FPLBillHistory_BillToDate_Range), 0))</f>
        <v>0.13709934735315446</v>
      </c>
      <c r="S6" s="64">
        <f t="shared" ref="S6:S12" si="11">D6*Q6</f>
        <v>0</v>
      </c>
      <c r="T6" s="3">
        <f t="shared" ref="T6:T12" si="12">G6*R6</f>
        <v>0</v>
      </c>
      <c r="U6" s="3">
        <f t="shared" ref="U6:U13" si="13">SUM(S6:T6)</f>
        <v>0</v>
      </c>
      <c r="V6" s="4">
        <v>0</v>
      </c>
      <c r="W6" s="3">
        <f t="shared" ref="W6:W37" si="14">C6/MPG_Kia</f>
        <v>0</v>
      </c>
      <c r="X6" s="3">
        <f t="shared" ref="X6" si="15">V6*W6</f>
        <v>0</v>
      </c>
      <c r="Y6" s="7">
        <f>X6-U6</f>
        <v>0</v>
      </c>
      <c r="Z6" s="5">
        <f>IFERROR((X6-U6)/X6,0)</f>
        <v>0</v>
      </c>
      <c r="AA6" s="7">
        <f>G6*Q6-G6*R6</f>
        <v>0</v>
      </c>
      <c r="AB6" s="3">
        <f>H6*Q6</f>
        <v>0</v>
      </c>
      <c r="AC6" s="3">
        <f t="shared" si="7"/>
        <v>0</v>
      </c>
      <c r="AD6" s="3">
        <f>H6*R6</f>
        <v>0</v>
      </c>
      <c r="AE6" s="3">
        <f t="shared" si="8"/>
        <v>0</v>
      </c>
      <c r="AF6" s="3">
        <f t="shared" si="9"/>
        <v>0</v>
      </c>
      <c r="AG6" s="3">
        <f>AB6-AD6</f>
        <v>0</v>
      </c>
      <c r="AH6" s="112">
        <f>'Gas Chemistry'!$B$11*$W6</f>
        <v>0</v>
      </c>
      <c r="AI6" s="112">
        <f>'Gas Chemistry'!$B$12*$W6</f>
        <v>0</v>
      </c>
      <c r="AJ6" s="112">
        <v>0</v>
      </c>
      <c r="AK6" s="112">
        <f>'Gas Chemistry'!$B$13*$W6</f>
        <v>0</v>
      </c>
      <c r="AL6" s="112">
        <f>'Gas Chemistry'!$B$14*$W6</f>
        <v>0</v>
      </c>
      <c r="AM6" s="112">
        <f>'Gas Chemistry'!$B$15*$W6</f>
        <v>0</v>
      </c>
      <c r="AN6" s="112">
        <f>'Gas Chemistry'!$B$16*$W6</f>
        <v>0</v>
      </c>
      <c r="AO6" s="112">
        <f>'Gas Chemistry'!$B$17*$W6</f>
        <v>0</v>
      </c>
      <c r="AP6" s="14">
        <f>H6*Constants!$C$14</f>
        <v>0</v>
      </c>
      <c r="AQ6" s="114">
        <f>'Gas Chemistry'!$C$122*$AP6</f>
        <v>0</v>
      </c>
      <c r="AR6" s="113">
        <f>'Gas Chemistry'!$C$123*$AP6</f>
        <v>0</v>
      </c>
      <c r="AS6" s="113">
        <f>'Gas Chemistry'!$C$127*$AP6</f>
        <v>0</v>
      </c>
      <c r="AT6" s="114">
        <f>'Gas Chemistry'!$C$124*$AP6</f>
        <v>0</v>
      </c>
      <c r="AU6" s="114">
        <f>'Gas Chemistry'!$C$126*$AP6</f>
        <v>0</v>
      </c>
      <c r="AV6" s="114">
        <f>'Gas Chemistry'!$C$125*$AP6</f>
        <v>0</v>
      </c>
      <c r="AW6" s="114">
        <v>0</v>
      </c>
      <c r="AX6" s="114">
        <v>0</v>
      </c>
    </row>
    <row r="7" spans="1:50" x14ac:dyDescent="0.3">
      <c r="A7" s="178">
        <v>45902</v>
      </c>
      <c r="B7" s="109">
        <v>0</v>
      </c>
      <c r="C7" s="158" cm="1">
        <f t="array" ref="C7">IF(B7=0, 0, B7 - INDEX(B$4:B6, MAX(IF(B$4:B6&lt;&gt;0, ROW(B$4:B6)-ROW(B$4)+1))))</f>
        <v>0</v>
      </c>
      <c r="D7" s="109">
        <v>0</v>
      </c>
      <c r="E7" s="109">
        <v>0</v>
      </c>
      <c r="F7" s="109">
        <v>0</v>
      </c>
      <c r="G7" s="158">
        <f t="shared" ref="G7:G68" si="16">E7+F7</f>
        <v>0</v>
      </c>
      <c r="H7" s="158">
        <f t="shared" ref="H7:H68" si="17">D7+G7</f>
        <v>0</v>
      </c>
      <c r="I7" s="109">
        <v>0</v>
      </c>
      <c r="J7" s="109">
        <v>0</v>
      </c>
      <c r="K7" s="158">
        <f t="shared" si="5"/>
        <v>0</v>
      </c>
      <c r="L7" s="16"/>
      <c r="M7" s="16"/>
      <c r="N7" s="4">
        <v>0</v>
      </c>
      <c r="O7" s="109">
        <v>0</v>
      </c>
      <c r="P7" s="137">
        <f t="shared" si="10"/>
        <v>0</v>
      </c>
      <c r="Q7" s="4">
        <v>0</v>
      </c>
      <c r="R7" s="177" cm="1">
        <f t="array" ref="R7">INDEX(FPLBillHistory_BilledPricePerKW_Range, MATCH(1, (A7&gt;=FPLBillHistory_BillFromDate_Range)*(A7&lt;=FPLBillHistory_BillToDate_Range), 0))</f>
        <v>0.13709934735315446</v>
      </c>
      <c r="S7" s="64">
        <f t="shared" si="11"/>
        <v>0</v>
      </c>
      <c r="T7" s="3">
        <f t="shared" si="12"/>
        <v>0</v>
      </c>
      <c r="U7" s="3">
        <f t="shared" si="13"/>
        <v>0</v>
      </c>
      <c r="V7" s="4">
        <v>0</v>
      </c>
      <c r="W7" s="3">
        <f t="shared" si="14"/>
        <v>0</v>
      </c>
      <c r="X7" s="3">
        <f t="shared" ref="X7:X17" si="18">V7*W7</f>
        <v>0</v>
      </c>
      <c r="Y7" s="7">
        <f t="shared" ref="Y7:Y17" si="19">X7-U7</f>
        <v>0</v>
      </c>
      <c r="Z7" s="5">
        <f t="shared" ref="Z7:Z17" si="20">IFERROR((X7-U7)/X7,0)</f>
        <v>0</v>
      </c>
      <c r="AA7" s="7">
        <f t="shared" ref="AA7:AA17" si="21">G7*Q7-G7*R7</f>
        <v>0</v>
      </c>
      <c r="AB7" s="3">
        <f t="shared" ref="AB7:AB68" si="22">H7*Q7</f>
        <v>0</v>
      </c>
      <c r="AC7" s="3">
        <f t="shared" ref="AC7:AC68" si="23">V7*W7</f>
        <v>0</v>
      </c>
      <c r="AD7" s="3">
        <f t="shared" ref="AD7:AD68" si="24">H7*R7</f>
        <v>0</v>
      </c>
      <c r="AE7" s="3">
        <f t="shared" ref="AE7:AE68" si="25">X7-AB7</f>
        <v>0</v>
      </c>
      <c r="AF7" s="3">
        <f t="shared" ref="AF7:AF68" si="26">X7-AD7</f>
        <v>0</v>
      </c>
      <c r="AG7" s="3">
        <f t="shared" ref="AG7:AG68" si="27">AB7-AD7</f>
        <v>0</v>
      </c>
      <c r="AH7" s="112">
        <f>'Gas Chemistry'!$B$11*$W7</f>
        <v>0</v>
      </c>
      <c r="AI7" s="112">
        <f>'Gas Chemistry'!$B$12*$W7</f>
        <v>0</v>
      </c>
      <c r="AJ7" s="112">
        <v>0</v>
      </c>
      <c r="AK7" s="112">
        <f>'Gas Chemistry'!$B$13*$W7</f>
        <v>0</v>
      </c>
      <c r="AL7" s="112">
        <f>'Gas Chemistry'!$B$14*$W7</f>
        <v>0</v>
      </c>
      <c r="AM7" s="112">
        <f>'Gas Chemistry'!$B$15*$W7</f>
        <v>0</v>
      </c>
      <c r="AN7" s="112">
        <f>'Gas Chemistry'!$B$16*$W7</f>
        <v>0</v>
      </c>
      <c r="AO7" s="112">
        <f>'Gas Chemistry'!$B$17*$W7</f>
        <v>0</v>
      </c>
      <c r="AP7" s="14">
        <f>H7*Constants!$C$14</f>
        <v>0</v>
      </c>
      <c r="AQ7" s="114">
        <f>'Gas Chemistry'!$C$122*$AP7</f>
        <v>0</v>
      </c>
      <c r="AR7" s="113">
        <f>'Gas Chemistry'!$C$123*$AP7</f>
        <v>0</v>
      </c>
      <c r="AS7" s="113">
        <f>'Gas Chemistry'!$C$127*$AP7</f>
        <v>0</v>
      </c>
      <c r="AT7" s="114">
        <f>'Gas Chemistry'!$C$124*$AP7</f>
        <v>0</v>
      </c>
      <c r="AU7" s="114">
        <f>'Gas Chemistry'!$C$126*$AP7</f>
        <v>0</v>
      </c>
      <c r="AV7" s="114">
        <f>'Gas Chemistry'!$C$125*$AP7</f>
        <v>0</v>
      </c>
      <c r="AW7" s="114">
        <v>0</v>
      </c>
      <c r="AX7" s="114">
        <v>0</v>
      </c>
    </row>
    <row r="8" spans="1:50" x14ac:dyDescent="0.3">
      <c r="A8" s="178">
        <v>45903</v>
      </c>
      <c r="B8" s="109">
        <v>0</v>
      </c>
      <c r="C8" s="158" cm="1">
        <f t="array" ref="C8">IF(B8=0, 0, B8 - INDEX(B$4:B7, MAX(IF(B$4:B7&lt;&gt;0, ROW(B$4:B7)-ROW(B$4)+1))))</f>
        <v>0</v>
      </c>
      <c r="D8" s="109">
        <v>0</v>
      </c>
      <c r="E8" s="109">
        <v>0</v>
      </c>
      <c r="F8" s="109">
        <v>0</v>
      </c>
      <c r="G8" s="158">
        <f t="shared" si="16"/>
        <v>0</v>
      </c>
      <c r="H8" s="158">
        <f t="shared" si="17"/>
        <v>0</v>
      </c>
      <c r="I8" s="109">
        <v>0</v>
      </c>
      <c r="J8" s="109">
        <v>0</v>
      </c>
      <c r="K8" s="158">
        <f t="shared" si="5"/>
        <v>0</v>
      </c>
      <c r="L8" s="16"/>
      <c r="M8" s="16"/>
      <c r="N8" s="4">
        <v>0</v>
      </c>
      <c r="O8" s="109">
        <v>0</v>
      </c>
      <c r="P8" s="137">
        <f t="shared" si="10"/>
        <v>0</v>
      </c>
      <c r="Q8" s="4">
        <v>0</v>
      </c>
      <c r="R8" s="177" cm="1">
        <f t="array" ref="R8">INDEX(FPLBillHistory_BilledPricePerKW_Range, MATCH(1, (A8&gt;=FPLBillHistory_BillFromDate_Range)*(A8&lt;=FPLBillHistory_BillToDate_Range), 0))</f>
        <v>0.13709934735315446</v>
      </c>
      <c r="S8" s="64">
        <f t="shared" si="11"/>
        <v>0</v>
      </c>
      <c r="T8" s="3">
        <f t="shared" si="12"/>
        <v>0</v>
      </c>
      <c r="U8" s="3">
        <f t="shared" si="13"/>
        <v>0</v>
      </c>
      <c r="V8" s="4">
        <v>0</v>
      </c>
      <c r="W8" s="3">
        <f t="shared" si="14"/>
        <v>0</v>
      </c>
      <c r="X8" s="3">
        <f t="shared" si="18"/>
        <v>0</v>
      </c>
      <c r="Y8" s="7">
        <f t="shared" si="19"/>
        <v>0</v>
      </c>
      <c r="Z8" s="5">
        <f t="shared" si="20"/>
        <v>0</v>
      </c>
      <c r="AA8" s="7">
        <f t="shared" si="21"/>
        <v>0</v>
      </c>
      <c r="AB8" s="3">
        <f t="shared" si="22"/>
        <v>0</v>
      </c>
      <c r="AC8" s="3">
        <f t="shared" si="23"/>
        <v>0</v>
      </c>
      <c r="AD8" s="3">
        <f t="shared" si="24"/>
        <v>0</v>
      </c>
      <c r="AE8" s="3">
        <f t="shared" si="25"/>
        <v>0</v>
      </c>
      <c r="AF8" s="3">
        <f t="shared" si="26"/>
        <v>0</v>
      </c>
      <c r="AG8" s="3">
        <f t="shared" si="27"/>
        <v>0</v>
      </c>
      <c r="AH8" s="112">
        <f>'Gas Chemistry'!$B$11*$W8</f>
        <v>0</v>
      </c>
      <c r="AI8" s="112">
        <f>'Gas Chemistry'!$B$12*$W8</f>
        <v>0</v>
      </c>
      <c r="AJ8" s="112">
        <v>0</v>
      </c>
      <c r="AK8" s="112">
        <f>'Gas Chemistry'!$B$13*$W8</f>
        <v>0</v>
      </c>
      <c r="AL8" s="112">
        <f>'Gas Chemistry'!$B$14*$W8</f>
        <v>0</v>
      </c>
      <c r="AM8" s="112">
        <f>'Gas Chemistry'!$B$15*$W8</f>
        <v>0</v>
      </c>
      <c r="AN8" s="112">
        <f>'Gas Chemistry'!$B$16*$W8</f>
        <v>0</v>
      </c>
      <c r="AO8" s="112">
        <f>'Gas Chemistry'!$B$17*$W8</f>
        <v>0</v>
      </c>
      <c r="AP8" s="14">
        <f>H8*Constants!$C$14</f>
        <v>0</v>
      </c>
      <c r="AQ8" s="114">
        <f>'Gas Chemistry'!$C$122*$AP8</f>
        <v>0</v>
      </c>
      <c r="AR8" s="113">
        <f>'Gas Chemistry'!$C$123*$AP8</f>
        <v>0</v>
      </c>
      <c r="AS8" s="113">
        <f>'Gas Chemistry'!$C$127*$AP8</f>
        <v>0</v>
      </c>
      <c r="AT8" s="114">
        <f>'Gas Chemistry'!$C$124*$AP8</f>
        <v>0</v>
      </c>
      <c r="AU8" s="114">
        <f>'Gas Chemistry'!$C$126*$AP8</f>
        <v>0</v>
      </c>
      <c r="AV8" s="114">
        <f>'Gas Chemistry'!$C$125*$AP8</f>
        <v>0</v>
      </c>
      <c r="AW8" s="114">
        <v>0</v>
      </c>
      <c r="AX8" s="114">
        <v>0</v>
      </c>
    </row>
    <row r="9" spans="1:50" x14ac:dyDescent="0.3">
      <c r="A9" s="178">
        <v>45904</v>
      </c>
      <c r="B9" s="109">
        <v>0</v>
      </c>
      <c r="C9" s="158" cm="1">
        <f t="array" ref="C9">IF(B9=0, 0, B9 - INDEX(B$4:B8, MAX(IF(B$4:B8&lt;&gt;0, ROW(B$4:B8)-ROW(B$4)+1))))</f>
        <v>0</v>
      </c>
      <c r="D9" s="109">
        <v>0</v>
      </c>
      <c r="E9" s="109">
        <v>0</v>
      </c>
      <c r="F9" s="109">
        <v>0</v>
      </c>
      <c r="G9" s="158">
        <f t="shared" si="16"/>
        <v>0</v>
      </c>
      <c r="H9" s="158">
        <f t="shared" si="17"/>
        <v>0</v>
      </c>
      <c r="I9" s="109">
        <v>0</v>
      </c>
      <c r="J9" s="109">
        <v>0</v>
      </c>
      <c r="K9" s="158">
        <f t="shared" si="5"/>
        <v>0</v>
      </c>
      <c r="L9" s="16"/>
      <c r="M9" s="16"/>
      <c r="N9" s="4">
        <v>0</v>
      </c>
      <c r="O9" s="109">
        <v>0</v>
      </c>
      <c r="P9" s="137">
        <f t="shared" si="10"/>
        <v>0</v>
      </c>
      <c r="Q9" s="4">
        <v>0</v>
      </c>
      <c r="R9" s="177" cm="1">
        <f t="array" ref="R9">INDEX(FPLBillHistory_BilledPricePerKW_Range, MATCH(1, (A9&gt;=FPLBillHistory_BillFromDate_Range)*(A9&lt;=FPLBillHistory_BillToDate_Range), 0))</f>
        <v>0.13709934735315446</v>
      </c>
      <c r="S9" s="64">
        <f t="shared" si="11"/>
        <v>0</v>
      </c>
      <c r="T9" s="3">
        <f t="shared" si="12"/>
        <v>0</v>
      </c>
      <c r="U9" s="3">
        <f t="shared" si="13"/>
        <v>0</v>
      </c>
      <c r="V9" s="4">
        <v>0</v>
      </c>
      <c r="W9" s="3">
        <f t="shared" si="14"/>
        <v>0</v>
      </c>
      <c r="X9" s="3">
        <f t="shared" si="18"/>
        <v>0</v>
      </c>
      <c r="Y9" s="7">
        <f t="shared" si="19"/>
        <v>0</v>
      </c>
      <c r="Z9" s="5">
        <f t="shared" si="20"/>
        <v>0</v>
      </c>
      <c r="AA9" s="7">
        <f t="shared" si="21"/>
        <v>0</v>
      </c>
      <c r="AB9" s="3">
        <f t="shared" si="22"/>
        <v>0</v>
      </c>
      <c r="AC9" s="3">
        <f t="shared" si="23"/>
        <v>0</v>
      </c>
      <c r="AD9" s="3">
        <f t="shared" si="24"/>
        <v>0</v>
      </c>
      <c r="AE9" s="3">
        <f t="shared" si="25"/>
        <v>0</v>
      </c>
      <c r="AF9" s="3">
        <f t="shared" si="26"/>
        <v>0</v>
      </c>
      <c r="AG9" s="3">
        <f t="shared" si="27"/>
        <v>0</v>
      </c>
      <c r="AH9" s="112">
        <f>'Gas Chemistry'!$B$11*$W9</f>
        <v>0</v>
      </c>
      <c r="AI9" s="112">
        <f>'Gas Chemistry'!$B$12*$W9</f>
        <v>0</v>
      </c>
      <c r="AJ9" s="112">
        <v>0</v>
      </c>
      <c r="AK9" s="112">
        <f>'Gas Chemistry'!$B$13*$W9</f>
        <v>0</v>
      </c>
      <c r="AL9" s="112">
        <f>'Gas Chemistry'!$B$14*$W9</f>
        <v>0</v>
      </c>
      <c r="AM9" s="112">
        <f>'Gas Chemistry'!$B$15*$W9</f>
        <v>0</v>
      </c>
      <c r="AN9" s="112">
        <f>'Gas Chemistry'!$B$16*$W9</f>
        <v>0</v>
      </c>
      <c r="AO9" s="112">
        <f>'Gas Chemistry'!$B$17*$W9</f>
        <v>0</v>
      </c>
      <c r="AP9" s="14">
        <f>H9*Constants!$C$14</f>
        <v>0</v>
      </c>
      <c r="AQ9" s="114">
        <f>'Gas Chemistry'!$C$122*$AP9</f>
        <v>0</v>
      </c>
      <c r="AR9" s="113">
        <f>'Gas Chemistry'!$C$123*$AP9</f>
        <v>0</v>
      </c>
      <c r="AS9" s="113">
        <f>'Gas Chemistry'!$C$127*$AP9</f>
        <v>0</v>
      </c>
      <c r="AT9" s="114">
        <f>'Gas Chemistry'!$C$124*$AP9</f>
        <v>0</v>
      </c>
      <c r="AU9" s="114">
        <f>'Gas Chemistry'!$C$126*$AP9</f>
        <v>0</v>
      </c>
      <c r="AV9" s="114">
        <f>'Gas Chemistry'!$C$125*$AP9</f>
        <v>0</v>
      </c>
      <c r="AW9" s="114">
        <v>0</v>
      </c>
      <c r="AX9" s="114">
        <v>0</v>
      </c>
    </row>
    <row r="10" spans="1:50" x14ac:dyDescent="0.3">
      <c r="A10" s="178">
        <v>45905</v>
      </c>
      <c r="B10" s="109">
        <v>130</v>
      </c>
      <c r="C10" s="158">
        <v>130</v>
      </c>
      <c r="D10" s="109">
        <v>49</v>
      </c>
      <c r="E10" s="109">
        <v>0</v>
      </c>
      <c r="F10" s="109">
        <v>0</v>
      </c>
      <c r="G10" s="158">
        <f t="shared" si="16"/>
        <v>0</v>
      </c>
      <c r="H10" s="158">
        <f t="shared" si="17"/>
        <v>49</v>
      </c>
      <c r="I10" s="109">
        <v>0</v>
      </c>
      <c r="J10" s="109">
        <v>80</v>
      </c>
      <c r="K10" s="158">
        <f t="shared" si="5"/>
        <v>80</v>
      </c>
      <c r="L10" s="16">
        <v>0.83333333333333337</v>
      </c>
      <c r="M10" s="16">
        <v>0</v>
      </c>
      <c r="N10" s="4">
        <v>0.3</v>
      </c>
      <c r="O10" s="109">
        <v>0</v>
      </c>
      <c r="P10" s="137">
        <f t="shared" si="10"/>
        <v>2.6530612244897958</v>
      </c>
      <c r="Q10" s="4">
        <v>0.34</v>
      </c>
      <c r="R10" s="177" cm="1">
        <f t="array" ref="R10">INDEX(FPLBillHistory_BilledPricePerKW_Range, MATCH(1, (A10&gt;=FPLBillHistory_BillFromDate_Range)*(A10&lt;=FPLBillHistory_BillToDate_Range), 0))</f>
        <v>0.13709934735315446</v>
      </c>
      <c r="S10" s="64">
        <f t="shared" si="11"/>
        <v>16.66</v>
      </c>
      <c r="T10" s="3">
        <f t="shared" si="12"/>
        <v>0</v>
      </c>
      <c r="U10" s="3">
        <f t="shared" si="13"/>
        <v>16.66</v>
      </c>
      <c r="V10" s="4">
        <v>2.75</v>
      </c>
      <c r="W10" s="3">
        <f t="shared" si="14"/>
        <v>5.2</v>
      </c>
      <c r="X10" s="3">
        <f t="shared" si="18"/>
        <v>14.3</v>
      </c>
      <c r="Y10" s="7">
        <f t="shared" si="19"/>
        <v>-2.3599999999999994</v>
      </c>
      <c r="Z10" s="5">
        <f t="shared" si="20"/>
        <v>-0.16503496503496498</v>
      </c>
      <c r="AA10" s="7">
        <f t="shared" si="21"/>
        <v>0</v>
      </c>
      <c r="AB10" s="3">
        <f t="shared" si="22"/>
        <v>16.66</v>
      </c>
      <c r="AC10" s="3">
        <f t="shared" si="23"/>
        <v>14.3</v>
      </c>
      <c r="AD10" s="3">
        <f t="shared" si="24"/>
        <v>6.7178680203045689</v>
      </c>
      <c r="AE10" s="3">
        <f t="shared" si="25"/>
        <v>-2.3599999999999994</v>
      </c>
      <c r="AF10" s="3">
        <f t="shared" si="26"/>
        <v>7.5821319796954318</v>
      </c>
      <c r="AG10" s="3">
        <f t="shared" si="27"/>
        <v>9.9421319796954322</v>
      </c>
      <c r="AH10" s="112">
        <f>'Gas Chemistry'!$B$11*$W10</f>
        <v>101.92000000000002</v>
      </c>
      <c r="AI10" s="112">
        <f>'Gas Chemistry'!$B$12*$W10</f>
        <v>41.6</v>
      </c>
      <c r="AJ10" s="112">
        <v>0</v>
      </c>
      <c r="AK10" s="112">
        <f>'Gas Chemistry'!$B$13*$W10</f>
        <v>0.10400000000000001</v>
      </c>
      <c r="AL10" s="112">
        <f>'Gas Chemistry'!$B$14*$W10</f>
        <v>5.2000000000000005E-2</v>
      </c>
      <c r="AM10" s="112">
        <f>'Gas Chemistry'!$B$15*$W10</f>
        <v>1.0400000000000001E-2</v>
      </c>
      <c r="AN10" s="112">
        <f>'Gas Chemistry'!$B$16*$W10</f>
        <v>5.2000000000000006E-3</v>
      </c>
      <c r="AO10" s="112">
        <f>'Gas Chemistry'!$B$17*$W10</f>
        <v>2.0800000000000003E-2</v>
      </c>
      <c r="AP10" s="14">
        <f>H10*Constants!$C$14</f>
        <v>167.18799999999999</v>
      </c>
      <c r="AQ10" s="114">
        <f>'Gas Chemistry'!$C$122*$AP10</f>
        <v>19.560995999999999</v>
      </c>
      <c r="AR10" s="113">
        <f>'Gas Chemistry'!$C$123*$AP10</f>
        <v>24.075071999999995</v>
      </c>
      <c r="AS10" s="113">
        <f>'Gas Chemistry'!$C$127*$AP10</f>
        <v>785.78359999999998</v>
      </c>
      <c r="AT10" s="114">
        <f>'Gas Chemistry'!$C$124*$AP10</f>
        <v>1.4043791999999998E-2</v>
      </c>
      <c r="AU10" s="114">
        <f>'Gas Chemistry'!$C$126*$AP10</f>
        <v>1.6718799999999999E-2</v>
      </c>
      <c r="AV10" s="114">
        <f>'Gas Chemistry'!$C$125*$AP10</f>
        <v>8.3593999999999997E-4</v>
      </c>
      <c r="AW10" s="114">
        <v>0</v>
      </c>
      <c r="AX10" s="114">
        <v>0</v>
      </c>
    </row>
    <row r="11" spans="1:50" x14ac:dyDescent="0.3">
      <c r="A11" s="178">
        <v>45906</v>
      </c>
      <c r="B11" s="109">
        <v>0</v>
      </c>
      <c r="C11" s="158" cm="1">
        <f t="array" ref="C11">IF(B11=0, 0, B11 - INDEX(B$4:B10, MAX(IF(B$4:B10&lt;&gt;0, ROW(B$4:B10)-ROW(B$4)+1))))</f>
        <v>0</v>
      </c>
      <c r="D11" s="109">
        <v>0</v>
      </c>
      <c r="E11" s="109">
        <v>0</v>
      </c>
      <c r="F11" s="109">
        <v>0</v>
      </c>
      <c r="G11" s="158">
        <f t="shared" si="16"/>
        <v>0</v>
      </c>
      <c r="H11" s="158">
        <f t="shared" si="17"/>
        <v>0</v>
      </c>
      <c r="I11" s="109">
        <v>0</v>
      </c>
      <c r="J11" s="109">
        <v>0</v>
      </c>
      <c r="K11" s="158">
        <f t="shared" si="5"/>
        <v>0</v>
      </c>
      <c r="L11" s="16"/>
      <c r="M11" s="16"/>
      <c r="N11" s="4">
        <v>0</v>
      </c>
      <c r="O11" s="109">
        <v>0</v>
      </c>
      <c r="P11" s="137">
        <f t="shared" si="10"/>
        <v>0</v>
      </c>
      <c r="Q11" s="4">
        <v>0</v>
      </c>
      <c r="R11" s="177" cm="1">
        <f t="array" ref="R11">INDEX(FPLBillHistory_BilledPricePerKW_Range, MATCH(1, (A11&gt;=FPLBillHistory_BillFromDate_Range)*(A11&lt;=FPLBillHistory_BillToDate_Range), 0))</f>
        <v>0.13709934735315446</v>
      </c>
      <c r="S11" s="64">
        <f t="shared" si="11"/>
        <v>0</v>
      </c>
      <c r="T11" s="3">
        <f t="shared" si="12"/>
        <v>0</v>
      </c>
      <c r="U11" s="3">
        <f t="shared" si="13"/>
        <v>0</v>
      </c>
      <c r="V11" s="4">
        <v>0</v>
      </c>
      <c r="W11" s="3">
        <f t="shared" si="14"/>
        <v>0</v>
      </c>
      <c r="X11" s="3">
        <f t="shared" si="18"/>
        <v>0</v>
      </c>
      <c r="Y11" s="7">
        <f t="shared" si="19"/>
        <v>0</v>
      </c>
      <c r="Z11" s="5">
        <f t="shared" si="20"/>
        <v>0</v>
      </c>
      <c r="AA11" s="7">
        <f t="shared" si="21"/>
        <v>0</v>
      </c>
      <c r="AB11" s="3">
        <f t="shared" si="22"/>
        <v>0</v>
      </c>
      <c r="AC11" s="3">
        <f t="shared" si="23"/>
        <v>0</v>
      </c>
      <c r="AD11" s="3">
        <f t="shared" si="24"/>
        <v>0</v>
      </c>
      <c r="AE11" s="3">
        <f t="shared" si="25"/>
        <v>0</v>
      </c>
      <c r="AF11" s="3">
        <f t="shared" si="26"/>
        <v>0</v>
      </c>
      <c r="AG11" s="3">
        <f t="shared" si="27"/>
        <v>0</v>
      </c>
      <c r="AH11" s="112">
        <f>'Gas Chemistry'!$B$11*$W11</f>
        <v>0</v>
      </c>
      <c r="AI11" s="112">
        <f>'Gas Chemistry'!$B$12*$W11</f>
        <v>0</v>
      </c>
      <c r="AJ11" s="112">
        <v>0</v>
      </c>
      <c r="AK11" s="112">
        <f>'Gas Chemistry'!$B$13*$W11</f>
        <v>0</v>
      </c>
      <c r="AL11" s="112">
        <f>'Gas Chemistry'!$B$14*$W11</f>
        <v>0</v>
      </c>
      <c r="AM11" s="112">
        <f>'Gas Chemistry'!$B$15*$W11</f>
        <v>0</v>
      </c>
      <c r="AN11" s="112">
        <f>'Gas Chemistry'!$B$16*$W11</f>
        <v>0</v>
      </c>
      <c r="AO11" s="112">
        <f>'Gas Chemistry'!$B$17*$W11</f>
        <v>0</v>
      </c>
      <c r="AP11" s="14">
        <f>H11*Constants!$C$14</f>
        <v>0</v>
      </c>
      <c r="AQ11" s="114">
        <f>'Gas Chemistry'!$C$122*$AP11</f>
        <v>0</v>
      </c>
      <c r="AR11" s="113">
        <f>'Gas Chemistry'!$C$123*$AP11</f>
        <v>0</v>
      </c>
      <c r="AS11" s="113">
        <f>'Gas Chemistry'!$C$127*$AP11</f>
        <v>0</v>
      </c>
      <c r="AT11" s="114">
        <f>'Gas Chemistry'!$C$124*$AP11</f>
        <v>0</v>
      </c>
      <c r="AU11" s="114">
        <f>'Gas Chemistry'!$C$126*$AP11</f>
        <v>0</v>
      </c>
      <c r="AV11" s="114">
        <f>'Gas Chemistry'!$C$125*$AP11</f>
        <v>0</v>
      </c>
      <c r="AW11" s="114">
        <v>0</v>
      </c>
      <c r="AX11" s="114">
        <v>0</v>
      </c>
    </row>
    <row r="12" spans="1:50" x14ac:dyDescent="0.3">
      <c r="A12" s="178">
        <v>45907</v>
      </c>
      <c r="B12" s="109">
        <v>0</v>
      </c>
      <c r="C12" s="158" cm="1">
        <f t="array" ref="C12">IF(B12=0, 0, B12 - INDEX(B$4:B11, MAX(IF(B$4:B11&lt;&gt;0, ROW(B$4:B11)-ROW(B$4)+1))))</f>
        <v>0</v>
      </c>
      <c r="D12" s="109">
        <v>0</v>
      </c>
      <c r="E12" s="109">
        <v>0</v>
      </c>
      <c r="F12" s="109">
        <v>0</v>
      </c>
      <c r="G12" s="158">
        <f t="shared" si="16"/>
        <v>0</v>
      </c>
      <c r="H12" s="158">
        <f t="shared" si="17"/>
        <v>0</v>
      </c>
      <c r="I12" s="109">
        <v>0</v>
      </c>
      <c r="J12" s="109">
        <v>0</v>
      </c>
      <c r="K12" s="158">
        <f t="shared" si="5"/>
        <v>0</v>
      </c>
      <c r="L12" s="16"/>
      <c r="M12" s="16"/>
      <c r="N12" s="4">
        <v>0</v>
      </c>
      <c r="O12" s="109">
        <v>0</v>
      </c>
      <c r="P12" s="137">
        <f t="shared" si="10"/>
        <v>0</v>
      </c>
      <c r="Q12" s="4">
        <v>0</v>
      </c>
      <c r="R12" s="177" cm="1">
        <f t="array" ref="R12">INDEX(FPLBillHistory_BilledPricePerKW_Range, MATCH(1, (A12&gt;=FPLBillHistory_BillFromDate_Range)*(A12&lt;=FPLBillHistory_BillToDate_Range), 0))</f>
        <v>0.13709934735315446</v>
      </c>
      <c r="S12" s="64">
        <f t="shared" si="11"/>
        <v>0</v>
      </c>
      <c r="T12" s="3">
        <f t="shared" si="12"/>
        <v>0</v>
      </c>
      <c r="U12" s="3">
        <f t="shared" si="13"/>
        <v>0</v>
      </c>
      <c r="V12" s="4">
        <v>0</v>
      </c>
      <c r="W12" s="3">
        <f t="shared" si="14"/>
        <v>0</v>
      </c>
      <c r="X12" s="3">
        <f t="shared" si="18"/>
        <v>0</v>
      </c>
      <c r="Y12" s="7">
        <f t="shared" si="19"/>
        <v>0</v>
      </c>
      <c r="Z12" s="5">
        <f t="shared" si="20"/>
        <v>0</v>
      </c>
      <c r="AA12" s="7">
        <f t="shared" si="21"/>
        <v>0</v>
      </c>
      <c r="AB12" s="3">
        <f t="shared" si="22"/>
        <v>0</v>
      </c>
      <c r="AC12" s="3">
        <f t="shared" si="23"/>
        <v>0</v>
      </c>
      <c r="AD12" s="3">
        <f t="shared" si="24"/>
        <v>0</v>
      </c>
      <c r="AE12" s="3">
        <f t="shared" si="25"/>
        <v>0</v>
      </c>
      <c r="AF12" s="3">
        <f t="shared" si="26"/>
        <v>0</v>
      </c>
      <c r="AG12" s="3">
        <f t="shared" si="27"/>
        <v>0</v>
      </c>
      <c r="AH12" s="112">
        <f>'Gas Chemistry'!$B$11*$W12</f>
        <v>0</v>
      </c>
      <c r="AI12" s="112">
        <f>'Gas Chemistry'!$B$12*$W12</f>
        <v>0</v>
      </c>
      <c r="AJ12" s="112">
        <v>0</v>
      </c>
      <c r="AK12" s="112">
        <f>'Gas Chemistry'!$B$13*$W12</f>
        <v>0</v>
      </c>
      <c r="AL12" s="112">
        <f>'Gas Chemistry'!$B$14*$W12</f>
        <v>0</v>
      </c>
      <c r="AM12" s="112">
        <f>'Gas Chemistry'!$B$15*$W12</f>
        <v>0</v>
      </c>
      <c r="AN12" s="112">
        <f>'Gas Chemistry'!$B$16*$W12</f>
        <v>0</v>
      </c>
      <c r="AO12" s="112">
        <f>'Gas Chemistry'!$B$17*$W12</f>
        <v>0</v>
      </c>
      <c r="AP12" s="14">
        <f>H12*Constants!$C$14</f>
        <v>0</v>
      </c>
      <c r="AQ12" s="114">
        <f>'Gas Chemistry'!$C$122*$AP12</f>
        <v>0</v>
      </c>
      <c r="AR12" s="113">
        <f>'Gas Chemistry'!$C$123*$AP12</f>
        <v>0</v>
      </c>
      <c r="AS12" s="113">
        <f>'Gas Chemistry'!$C$127*$AP12</f>
        <v>0</v>
      </c>
      <c r="AT12" s="114">
        <f>'Gas Chemistry'!$C$124*$AP12</f>
        <v>0</v>
      </c>
      <c r="AU12" s="114">
        <f>'Gas Chemistry'!$C$126*$AP12</f>
        <v>0</v>
      </c>
      <c r="AV12" s="114">
        <f>'Gas Chemistry'!$C$125*$AP12</f>
        <v>0</v>
      </c>
      <c r="AW12" s="114">
        <v>0</v>
      </c>
      <c r="AX12" s="114">
        <v>0</v>
      </c>
    </row>
    <row r="13" spans="1:50" x14ac:dyDescent="0.3">
      <c r="A13" s="178">
        <v>45908</v>
      </c>
      <c r="B13" s="109">
        <v>300</v>
      </c>
      <c r="C13" s="158" cm="1">
        <f t="array" ref="C13">IF(B13=0, 0, B13 - INDEX(B$4:B12, MAX(IF(B$4:B12&lt;&gt;0, ROW(B$4:B12)-ROW(B$4)+1))))</f>
        <v>170</v>
      </c>
      <c r="D13" s="109">
        <v>38</v>
      </c>
      <c r="E13" s="109">
        <v>0</v>
      </c>
      <c r="F13" s="109">
        <v>0</v>
      </c>
      <c r="G13" s="158">
        <f t="shared" si="16"/>
        <v>0</v>
      </c>
      <c r="H13" s="158">
        <f t="shared" si="17"/>
        <v>38</v>
      </c>
      <c r="I13" s="109">
        <v>0</v>
      </c>
      <c r="J13" s="109">
        <v>80</v>
      </c>
      <c r="K13" s="158">
        <f t="shared" si="5"/>
        <v>80</v>
      </c>
      <c r="L13" s="16">
        <v>0.83333333333333337</v>
      </c>
      <c r="M13" s="16">
        <v>0</v>
      </c>
      <c r="N13" s="4">
        <v>0.3</v>
      </c>
      <c r="O13" s="109">
        <v>0</v>
      </c>
      <c r="P13" s="137">
        <f t="shared" si="10"/>
        <v>4.4736842105263159</v>
      </c>
      <c r="Q13" s="4">
        <v>0.34</v>
      </c>
      <c r="R13" s="177" cm="1">
        <f t="array" ref="R13">INDEX(FPLBillHistory_BilledPricePerKW_Range, MATCH(1, (A13&gt;=FPLBillHistory_BillFromDate_Range)*(A13&lt;=FPLBillHistory_BillToDate_Range), 0))</f>
        <v>0.13702267739575713</v>
      </c>
      <c r="S13" s="64">
        <f>D13*Q13</f>
        <v>12.920000000000002</v>
      </c>
      <c r="T13" s="3">
        <f>G13*R13</f>
        <v>0</v>
      </c>
      <c r="U13" s="3">
        <f t="shared" si="13"/>
        <v>12.920000000000002</v>
      </c>
      <c r="V13" s="4">
        <v>2.75</v>
      </c>
      <c r="W13" s="3">
        <f t="shared" si="14"/>
        <v>6.8</v>
      </c>
      <c r="X13" s="3">
        <f t="shared" si="18"/>
        <v>18.7</v>
      </c>
      <c r="Y13" s="7">
        <f t="shared" si="19"/>
        <v>5.7799999999999976</v>
      </c>
      <c r="Z13" s="5">
        <f t="shared" si="20"/>
        <v>0.30909090909090897</v>
      </c>
      <c r="AA13" s="7">
        <f t="shared" si="21"/>
        <v>0</v>
      </c>
      <c r="AB13" s="3">
        <f t="shared" si="22"/>
        <v>12.920000000000002</v>
      </c>
      <c r="AC13" s="3">
        <f t="shared" si="23"/>
        <v>18.7</v>
      </c>
      <c r="AD13" s="3">
        <f t="shared" si="24"/>
        <v>5.2068617410387708</v>
      </c>
      <c r="AE13" s="3">
        <f t="shared" si="25"/>
        <v>5.7799999999999976</v>
      </c>
      <c r="AF13" s="3">
        <f t="shared" si="26"/>
        <v>13.493138258961228</v>
      </c>
      <c r="AG13" s="3">
        <f t="shared" si="27"/>
        <v>7.713138258961231</v>
      </c>
      <c r="AH13" s="112">
        <f>'Gas Chemistry'!$B$11*$W13</f>
        <v>133.28</v>
      </c>
      <c r="AI13" s="112">
        <f>'Gas Chemistry'!$B$12*$W13</f>
        <v>54.4</v>
      </c>
      <c r="AJ13" s="112">
        <v>0</v>
      </c>
      <c r="AK13" s="112">
        <f>'Gas Chemistry'!$B$13*$W13</f>
        <v>0.13600000000000001</v>
      </c>
      <c r="AL13" s="112">
        <f>'Gas Chemistry'!$B$14*$W13</f>
        <v>6.8000000000000005E-2</v>
      </c>
      <c r="AM13" s="112">
        <f>'Gas Chemistry'!$B$15*$W13</f>
        <v>1.3599999999999999E-2</v>
      </c>
      <c r="AN13" s="112">
        <f>'Gas Chemistry'!$B$16*$W13</f>
        <v>6.7999999999999996E-3</v>
      </c>
      <c r="AO13" s="112">
        <f>'Gas Chemistry'!$B$17*$W13</f>
        <v>2.7199999999999998E-2</v>
      </c>
      <c r="AP13" s="14">
        <f>H13*Constants!$C$14</f>
        <v>129.65600000000001</v>
      </c>
      <c r="AQ13" s="114">
        <f>'Gas Chemistry'!$C$122*$AP13</f>
        <v>15.169752000000001</v>
      </c>
      <c r="AR13" s="113">
        <f>'Gas Chemistry'!$C$123*$AP13</f>
        <v>18.670463999999999</v>
      </c>
      <c r="AS13" s="113">
        <f>'Gas Chemistry'!$C$127*$AP13</f>
        <v>609.3832000000001</v>
      </c>
      <c r="AT13" s="114">
        <f>'Gas Chemistry'!$C$124*$AP13</f>
        <v>1.0891104E-2</v>
      </c>
      <c r="AU13" s="114">
        <f>'Gas Chemistry'!$C$126*$AP13</f>
        <v>1.2965600000000001E-2</v>
      </c>
      <c r="AV13" s="114">
        <f>'Gas Chemistry'!$C$125*$AP13</f>
        <v>6.482800000000001E-4</v>
      </c>
      <c r="AW13" s="114">
        <v>0</v>
      </c>
      <c r="AX13" s="114">
        <v>0</v>
      </c>
    </row>
    <row r="14" spans="1:50" x14ac:dyDescent="0.3">
      <c r="A14" s="178">
        <v>45909</v>
      </c>
      <c r="B14" s="109">
        <v>0</v>
      </c>
      <c r="C14" s="158" cm="1">
        <f t="array" ref="C14">IF(B14=0, 0, B14 - INDEX(B$4:B13, MAX(IF(B$4:B13&lt;&gt;0, ROW(B$4:B13)-ROW(B$4)+1))))</f>
        <v>0</v>
      </c>
      <c r="D14" s="109">
        <v>0</v>
      </c>
      <c r="E14" s="109">
        <v>0</v>
      </c>
      <c r="F14" s="109">
        <v>0</v>
      </c>
      <c r="G14" s="158">
        <f t="shared" si="16"/>
        <v>0</v>
      </c>
      <c r="H14" s="158">
        <f t="shared" si="17"/>
        <v>0</v>
      </c>
      <c r="I14" s="109">
        <v>0</v>
      </c>
      <c r="J14" s="109">
        <v>0</v>
      </c>
      <c r="K14" s="158">
        <f t="shared" si="5"/>
        <v>0</v>
      </c>
      <c r="L14" s="16"/>
      <c r="M14" s="16"/>
      <c r="N14" s="4">
        <v>0</v>
      </c>
      <c r="O14" s="109">
        <v>0</v>
      </c>
      <c r="P14" s="137">
        <f t="shared" si="10"/>
        <v>0</v>
      </c>
      <c r="Q14" s="4">
        <v>0</v>
      </c>
      <c r="R14" s="177" cm="1">
        <f t="array" ref="R14">INDEX(FPLBillHistory_BilledPricePerKW_Range, MATCH(1, (A14&gt;=FPLBillHistory_BillFromDate_Range)*(A14&lt;=FPLBillHistory_BillToDate_Range), 0))</f>
        <v>0.13702267739575713</v>
      </c>
      <c r="S14" s="64">
        <f t="shared" ref="S14:S29" si="28">D14*Q14</f>
        <v>0</v>
      </c>
      <c r="T14" s="3">
        <f t="shared" ref="T14:T29" si="29">G14*R14</f>
        <v>0</v>
      </c>
      <c r="U14" s="3">
        <f t="shared" ref="U14:U29" si="30">SUM(S14:T14)</f>
        <v>0</v>
      </c>
      <c r="V14" s="4">
        <v>0</v>
      </c>
      <c r="W14" s="3">
        <f t="shared" si="14"/>
        <v>0</v>
      </c>
      <c r="X14" s="3">
        <f t="shared" si="18"/>
        <v>0</v>
      </c>
      <c r="Y14" s="7">
        <f t="shared" si="19"/>
        <v>0</v>
      </c>
      <c r="Z14" s="5">
        <f t="shared" si="20"/>
        <v>0</v>
      </c>
      <c r="AA14" s="7">
        <f t="shared" si="21"/>
        <v>0</v>
      </c>
      <c r="AB14" s="3">
        <f t="shared" si="22"/>
        <v>0</v>
      </c>
      <c r="AC14" s="3">
        <f t="shared" si="23"/>
        <v>0</v>
      </c>
      <c r="AD14" s="3">
        <f t="shared" si="24"/>
        <v>0</v>
      </c>
      <c r="AE14" s="3">
        <f t="shared" si="25"/>
        <v>0</v>
      </c>
      <c r="AF14" s="3">
        <f t="shared" si="26"/>
        <v>0</v>
      </c>
      <c r="AG14" s="3">
        <f t="shared" si="27"/>
        <v>0</v>
      </c>
      <c r="AH14" s="112">
        <f>'Gas Chemistry'!$B$11*$W14</f>
        <v>0</v>
      </c>
      <c r="AI14" s="112">
        <f>'Gas Chemistry'!$B$12*$W14</f>
        <v>0</v>
      </c>
      <c r="AJ14" s="112">
        <v>0</v>
      </c>
      <c r="AK14" s="112">
        <f>'Gas Chemistry'!$B$13*$W14</f>
        <v>0</v>
      </c>
      <c r="AL14" s="112">
        <f>'Gas Chemistry'!$B$14*$W14</f>
        <v>0</v>
      </c>
      <c r="AM14" s="112">
        <f>'Gas Chemistry'!$B$15*$W14</f>
        <v>0</v>
      </c>
      <c r="AN14" s="112">
        <f>'Gas Chemistry'!$B$16*$W14</f>
        <v>0</v>
      </c>
      <c r="AO14" s="112">
        <f>'Gas Chemistry'!$B$17*$W14</f>
        <v>0</v>
      </c>
      <c r="AP14" s="14">
        <f>H14*Constants!$C$14</f>
        <v>0</v>
      </c>
      <c r="AQ14" s="114">
        <f>'Gas Chemistry'!$C$122*$AP14</f>
        <v>0</v>
      </c>
      <c r="AR14" s="113">
        <f>'Gas Chemistry'!$C$123*$AP14</f>
        <v>0</v>
      </c>
      <c r="AS14" s="113">
        <f>'Gas Chemistry'!$C$127*$AP14</f>
        <v>0</v>
      </c>
      <c r="AT14" s="114">
        <f>'Gas Chemistry'!$C$124*$AP14</f>
        <v>0</v>
      </c>
      <c r="AU14" s="114">
        <f>'Gas Chemistry'!$C$126*$AP14</f>
        <v>0</v>
      </c>
      <c r="AV14" s="114">
        <f>'Gas Chemistry'!$C$125*$AP14</f>
        <v>0</v>
      </c>
      <c r="AW14" s="114">
        <v>0</v>
      </c>
      <c r="AX14" s="114">
        <v>0</v>
      </c>
    </row>
    <row r="15" spans="1:50" x14ac:dyDescent="0.3">
      <c r="A15" s="178">
        <v>45910</v>
      </c>
      <c r="B15" s="109">
        <v>0</v>
      </c>
      <c r="C15" s="158" cm="1">
        <f t="array" ref="C15">IF(B15=0, 0, B15 - INDEX(B$4:B14, MAX(IF(B$4:B14&lt;&gt;0, ROW(B$4:B14)-ROW(B$4)+1))))</f>
        <v>0</v>
      </c>
      <c r="D15" s="109">
        <v>0</v>
      </c>
      <c r="E15" s="109">
        <v>0</v>
      </c>
      <c r="F15" s="109">
        <v>0</v>
      </c>
      <c r="G15" s="158">
        <f t="shared" si="16"/>
        <v>0</v>
      </c>
      <c r="H15" s="158">
        <f t="shared" si="17"/>
        <v>0</v>
      </c>
      <c r="I15" s="109">
        <v>0</v>
      </c>
      <c r="J15" s="109">
        <v>0</v>
      </c>
      <c r="K15" s="158">
        <f t="shared" si="5"/>
        <v>0</v>
      </c>
      <c r="L15" s="16"/>
      <c r="M15" s="16"/>
      <c r="N15" s="4">
        <v>0</v>
      </c>
      <c r="O15" s="109">
        <v>0</v>
      </c>
      <c r="P15" s="137">
        <f t="shared" si="10"/>
        <v>0</v>
      </c>
      <c r="Q15" s="4">
        <v>0</v>
      </c>
      <c r="R15" s="177" cm="1">
        <f t="array" ref="R15">INDEX(FPLBillHistory_BilledPricePerKW_Range, MATCH(1, (A15&gt;=FPLBillHistory_BillFromDate_Range)*(A15&lt;=FPLBillHistory_BillToDate_Range), 0))</f>
        <v>0.13702267739575713</v>
      </c>
      <c r="S15" s="64">
        <f t="shared" si="28"/>
        <v>0</v>
      </c>
      <c r="T15" s="3">
        <f t="shared" si="29"/>
        <v>0</v>
      </c>
      <c r="U15" s="3">
        <f t="shared" si="30"/>
        <v>0</v>
      </c>
      <c r="V15" s="4">
        <v>0</v>
      </c>
      <c r="W15" s="3">
        <f t="shared" si="14"/>
        <v>0</v>
      </c>
      <c r="X15" s="3">
        <f t="shared" si="18"/>
        <v>0</v>
      </c>
      <c r="Y15" s="7">
        <f t="shared" si="19"/>
        <v>0</v>
      </c>
      <c r="Z15" s="5">
        <f t="shared" si="20"/>
        <v>0</v>
      </c>
      <c r="AA15" s="7">
        <f t="shared" si="21"/>
        <v>0</v>
      </c>
      <c r="AB15" s="3">
        <f t="shared" si="22"/>
        <v>0</v>
      </c>
      <c r="AC15" s="3">
        <f t="shared" si="23"/>
        <v>0</v>
      </c>
      <c r="AD15" s="3">
        <f t="shared" si="24"/>
        <v>0</v>
      </c>
      <c r="AE15" s="3">
        <f t="shared" si="25"/>
        <v>0</v>
      </c>
      <c r="AF15" s="3">
        <f t="shared" si="26"/>
        <v>0</v>
      </c>
      <c r="AG15" s="3">
        <f t="shared" si="27"/>
        <v>0</v>
      </c>
      <c r="AH15" s="112">
        <f>'Gas Chemistry'!$B$11*$W15</f>
        <v>0</v>
      </c>
      <c r="AI15" s="112">
        <f>'Gas Chemistry'!$B$12*$W15</f>
        <v>0</v>
      </c>
      <c r="AJ15" s="112">
        <v>0</v>
      </c>
      <c r="AK15" s="112">
        <f>'Gas Chemistry'!$B$13*$W15</f>
        <v>0</v>
      </c>
      <c r="AL15" s="112">
        <f>'Gas Chemistry'!$B$14*$W15</f>
        <v>0</v>
      </c>
      <c r="AM15" s="112">
        <f>'Gas Chemistry'!$B$15*$W15</f>
        <v>0</v>
      </c>
      <c r="AN15" s="112">
        <f>'Gas Chemistry'!$B$16*$W15</f>
        <v>0</v>
      </c>
      <c r="AO15" s="112">
        <f>'Gas Chemistry'!$B$17*$W15</f>
        <v>0</v>
      </c>
      <c r="AP15" s="14">
        <f>H15*Constants!$C$14</f>
        <v>0</v>
      </c>
      <c r="AQ15" s="114">
        <f>'Gas Chemistry'!$C$122*$AP15</f>
        <v>0</v>
      </c>
      <c r="AR15" s="113">
        <f>'Gas Chemistry'!$C$123*$AP15</f>
        <v>0</v>
      </c>
      <c r="AS15" s="113">
        <f>'Gas Chemistry'!$C$127*$AP15</f>
        <v>0</v>
      </c>
      <c r="AT15" s="114">
        <f>'Gas Chemistry'!$C$124*$AP15</f>
        <v>0</v>
      </c>
      <c r="AU15" s="114">
        <f>'Gas Chemistry'!$C$126*$AP15</f>
        <v>0</v>
      </c>
      <c r="AV15" s="114">
        <f>'Gas Chemistry'!$C$125*$AP15</f>
        <v>0</v>
      </c>
      <c r="AW15" s="114">
        <v>0</v>
      </c>
      <c r="AX15" s="114">
        <v>0</v>
      </c>
    </row>
    <row r="16" spans="1:50" x14ac:dyDescent="0.3">
      <c r="A16" s="178">
        <v>45911</v>
      </c>
      <c r="B16" s="109">
        <v>0</v>
      </c>
      <c r="C16" s="158" cm="1">
        <f t="array" ref="C16">IF(B16=0, 0, B16 - INDEX(B$4:B15, MAX(IF(B$4:B15&lt;&gt;0, ROW(B$4:B15)-ROW(B$4)+1))))</f>
        <v>0</v>
      </c>
      <c r="D16" s="109">
        <v>0</v>
      </c>
      <c r="E16" s="109">
        <v>0</v>
      </c>
      <c r="F16" s="109">
        <v>0</v>
      </c>
      <c r="G16" s="158">
        <f t="shared" si="16"/>
        <v>0</v>
      </c>
      <c r="H16" s="158">
        <f t="shared" si="17"/>
        <v>0</v>
      </c>
      <c r="I16" s="109">
        <v>0</v>
      </c>
      <c r="J16" s="109">
        <v>0</v>
      </c>
      <c r="K16" s="158">
        <f t="shared" si="5"/>
        <v>0</v>
      </c>
      <c r="L16" s="16"/>
      <c r="M16" s="16"/>
      <c r="N16" s="4">
        <v>0</v>
      </c>
      <c r="O16" s="109">
        <v>0</v>
      </c>
      <c r="P16" s="137">
        <f t="shared" si="10"/>
        <v>0</v>
      </c>
      <c r="Q16" s="4">
        <v>0</v>
      </c>
      <c r="R16" s="177" cm="1">
        <f t="array" ref="R16">INDEX(FPLBillHistory_BilledPricePerKW_Range, MATCH(1, (A16&gt;=FPLBillHistory_BillFromDate_Range)*(A16&lt;=FPLBillHistory_BillToDate_Range), 0))</f>
        <v>0.13702267739575713</v>
      </c>
      <c r="S16" s="64">
        <f t="shared" si="28"/>
        <v>0</v>
      </c>
      <c r="T16" s="3">
        <f t="shared" si="29"/>
        <v>0</v>
      </c>
      <c r="U16" s="3">
        <f t="shared" si="30"/>
        <v>0</v>
      </c>
      <c r="V16" s="4">
        <v>0</v>
      </c>
      <c r="W16" s="3">
        <f t="shared" si="14"/>
        <v>0</v>
      </c>
      <c r="X16" s="3">
        <f t="shared" si="18"/>
        <v>0</v>
      </c>
      <c r="Y16" s="7">
        <f t="shared" si="19"/>
        <v>0</v>
      </c>
      <c r="Z16" s="5">
        <f t="shared" si="20"/>
        <v>0</v>
      </c>
      <c r="AA16" s="7">
        <f t="shared" si="21"/>
        <v>0</v>
      </c>
      <c r="AB16" s="3">
        <f t="shared" si="22"/>
        <v>0</v>
      </c>
      <c r="AC16" s="3">
        <f t="shared" si="23"/>
        <v>0</v>
      </c>
      <c r="AD16" s="3">
        <f t="shared" si="24"/>
        <v>0</v>
      </c>
      <c r="AE16" s="3">
        <f t="shared" si="25"/>
        <v>0</v>
      </c>
      <c r="AF16" s="3">
        <f t="shared" si="26"/>
        <v>0</v>
      </c>
      <c r="AG16" s="3">
        <f t="shared" si="27"/>
        <v>0</v>
      </c>
      <c r="AH16" s="112">
        <f>'Gas Chemistry'!$B$11*$W16</f>
        <v>0</v>
      </c>
      <c r="AI16" s="112">
        <f>'Gas Chemistry'!$B$12*$W16</f>
        <v>0</v>
      </c>
      <c r="AJ16" s="112">
        <v>0</v>
      </c>
      <c r="AK16" s="112">
        <f>'Gas Chemistry'!$B$13*$W16</f>
        <v>0</v>
      </c>
      <c r="AL16" s="112">
        <f>'Gas Chemistry'!$B$14*$W16</f>
        <v>0</v>
      </c>
      <c r="AM16" s="112">
        <f>'Gas Chemistry'!$B$15*$W16</f>
        <v>0</v>
      </c>
      <c r="AN16" s="112">
        <f>'Gas Chemistry'!$B$16*$W16</f>
        <v>0</v>
      </c>
      <c r="AO16" s="112">
        <f>'Gas Chemistry'!$B$17*$W16</f>
        <v>0</v>
      </c>
      <c r="AP16" s="14">
        <f>H16*Constants!$C$14</f>
        <v>0</v>
      </c>
      <c r="AQ16" s="114">
        <f>'Gas Chemistry'!$C$122*$AP16</f>
        <v>0</v>
      </c>
      <c r="AR16" s="113">
        <f>'Gas Chemistry'!$C$123*$AP16</f>
        <v>0</v>
      </c>
      <c r="AS16" s="113">
        <f>'Gas Chemistry'!$C$127*$AP16</f>
        <v>0</v>
      </c>
      <c r="AT16" s="114">
        <f>'Gas Chemistry'!$C$124*$AP16</f>
        <v>0</v>
      </c>
      <c r="AU16" s="114">
        <f>'Gas Chemistry'!$C$126*$AP16</f>
        <v>0</v>
      </c>
      <c r="AV16" s="114">
        <f>'Gas Chemistry'!$C$125*$AP16</f>
        <v>0</v>
      </c>
      <c r="AW16" s="114">
        <v>0</v>
      </c>
      <c r="AX16" s="114">
        <v>0</v>
      </c>
    </row>
    <row r="17" spans="1:50" x14ac:dyDescent="0.3">
      <c r="A17" s="178">
        <v>45912</v>
      </c>
      <c r="B17" s="109">
        <v>325</v>
      </c>
      <c r="C17" s="158" cm="1">
        <f t="array" ref="C17">IF(B17=0, 0, B17 - INDEX(B$4:B16, MAX(IF(B$4:B16&lt;&gt;0, ROW(B$4:B16)-ROW(B$4)+1))))</f>
        <v>25</v>
      </c>
      <c r="D17" s="109">
        <v>0</v>
      </c>
      <c r="E17" s="109">
        <v>4</v>
      </c>
      <c r="F17" s="109">
        <v>0</v>
      </c>
      <c r="G17" s="158">
        <f t="shared" si="16"/>
        <v>4</v>
      </c>
      <c r="H17" s="158">
        <f t="shared" si="17"/>
        <v>4</v>
      </c>
      <c r="I17" s="109">
        <v>0</v>
      </c>
      <c r="J17" s="109">
        <v>0</v>
      </c>
      <c r="K17" s="158">
        <f t="shared" si="5"/>
        <v>0</v>
      </c>
      <c r="L17" s="16">
        <v>0.83333333333333337</v>
      </c>
      <c r="M17" s="16">
        <v>0</v>
      </c>
      <c r="N17" s="4">
        <v>8</v>
      </c>
      <c r="O17" s="109">
        <v>0</v>
      </c>
      <c r="P17" s="137">
        <f t="shared" si="10"/>
        <v>6.25</v>
      </c>
      <c r="Q17" s="4">
        <v>0.39</v>
      </c>
      <c r="R17" s="177" cm="1">
        <f t="array" ref="R17">INDEX(FPLBillHistory_BilledPricePerKW_Range, MATCH(1, (A17&gt;=FPLBillHistory_BillFromDate_Range)*(A17&lt;=FPLBillHistory_BillToDate_Range), 0))</f>
        <v>0.13702267739575713</v>
      </c>
      <c r="S17" s="64">
        <f t="shared" si="28"/>
        <v>0</v>
      </c>
      <c r="T17" s="3">
        <f t="shared" si="29"/>
        <v>0.54809070958302852</v>
      </c>
      <c r="U17" s="3">
        <f t="shared" si="30"/>
        <v>0.54809070958302852</v>
      </c>
      <c r="V17" s="4">
        <v>2.75</v>
      </c>
      <c r="W17" s="3">
        <f t="shared" si="14"/>
        <v>1</v>
      </c>
      <c r="X17" s="3">
        <f t="shared" si="18"/>
        <v>2.75</v>
      </c>
      <c r="Y17" s="7">
        <f t="shared" si="19"/>
        <v>2.2019092904169715</v>
      </c>
      <c r="Z17" s="5">
        <f t="shared" si="20"/>
        <v>0.80069428742435322</v>
      </c>
      <c r="AA17" s="7">
        <f t="shared" si="21"/>
        <v>1.0119092904169715</v>
      </c>
      <c r="AB17" s="3">
        <f t="shared" si="22"/>
        <v>1.56</v>
      </c>
      <c r="AC17" s="3">
        <f t="shared" si="23"/>
        <v>2.75</v>
      </c>
      <c r="AD17" s="3">
        <f t="shared" si="24"/>
        <v>0.54809070958302852</v>
      </c>
      <c r="AE17" s="3">
        <f t="shared" si="25"/>
        <v>1.19</v>
      </c>
      <c r="AF17" s="3">
        <f t="shared" si="26"/>
        <v>2.2019092904169715</v>
      </c>
      <c r="AG17" s="3">
        <f t="shared" si="27"/>
        <v>1.0119092904169715</v>
      </c>
      <c r="AH17" s="112">
        <f>'Gas Chemistry'!$B$11*$W17</f>
        <v>19.600000000000001</v>
      </c>
      <c r="AI17" s="112">
        <f>'Gas Chemistry'!$B$12*$W17</f>
        <v>8</v>
      </c>
      <c r="AJ17" s="112">
        <v>0</v>
      </c>
      <c r="AK17" s="112">
        <f>'Gas Chemistry'!$B$13*$W17</f>
        <v>0.02</v>
      </c>
      <c r="AL17" s="112">
        <f>'Gas Chemistry'!$B$14*$W17</f>
        <v>0.01</v>
      </c>
      <c r="AM17" s="112">
        <f>'Gas Chemistry'!$B$15*$W17</f>
        <v>2E-3</v>
      </c>
      <c r="AN17" s="112">
        <f>'Gas Chemistry'!$B$16*$W17</f>
        <v>1E-3</v>
      </c>
      <c r="AO17" s="112">
        <f>'Gas Chemistry'!$B$17*$W17</f>
        <v>4.0000000000000001E-3</v>
      </c>
      <c r="AP17" s="14">
        <f>H17*Constants!$C$14</f>
        <v>13.648</v>
      </c>
      <c r="AQ17" s="114">
        <f>'Gas Chemistry'!$C$122*$AP17</f>
        <v>1.596816</v>
      </c>
      <c r="AR17" s="113">
        <f>'Gas Chemistry'!$C$123*$AP17</f>
        <v>1.9653119999999997</v>
      </c>
      <c r="AS17" s="113">
        <f>'Gas Chemistry'!$C$127*$AP17</f>
        <v>64.145600000000002</v>
      </c>
      <c r="AT17" s="114">
        <f>'Gas Chemistry'!$C$124*$AP17</f>
        <v>1.146432E-3</v>
      </c>
      <c r="AU17" s="114">
        <f>'Gas Chemistry'!$C$126*$AP17</f>
        <v>1.3648E-3</v>
      </c>
      <c r="AV17" s="114">
        <f>'Gas Chemistry'!$C$125*$AP17</f>
        <v>6.8240000000000011E-5</v>
      </c>
      <c r="AW17" s="114">
        <v>0</v>
      </c>
      <c r="AX17" s="114">
        <v>0</v>
      </c>
    </row>
    <row r="18" spans="1:50" x14ac:dyDescent="0.3">
      <c r="A18" s="178">
        <v>45913</v>
      </c>
      <c r="B18" s="109">
        <v>425</v>
      </c>
      <c r="C18" s="158" cm="1">
        <f t="array" ref="C18">IF(B18=0, 0, B18 - INDEX(B$4:B17, MAX(IF(B$4:B17&lt;&gt;0, ROW(B$4:B17)-ROW(B$4)+1))))</f>
        <v>100</v>
      </c>
      <c r="D18" s="109">
        <v>38</v>
      </c>
      <c r="E18" s="109">
        <v>10</v>
      </c>
      <c r="F18" s="109">
        <v>0</v>
      </c>
      <c r="G18" s="158">
        <f t="shared" si="16"/>
        <v>10</v>
      </c>
      <c r="H18" s="158">
        <f t="shared" si="17"/>
        <v>48</v>
      </c>
      <c r="I18" s="109">
        <v>0</v>
      </c>
      <c r="J18" s="109">
        <v>80</v>
      </c>
      <c r="K18" s="158">
        <f t="shared" si="5"/>
        <v>80</v>
      </c>
      <c r="L18" s="16">
        <v>0.83333333333333337</v>
      </c>
      <c r="M18" s="16">
        <v>0.33333333333333331</v>
      </c>
      <c r="N18" s="4">
        <v>12</v>
      </c>
      <c r="O18" s="109">
        <v>0</v>
      </c>
      <c r="P18" s="137">
        <f t="shared" si="10"/>
        <v>2.0833333333333335</v>
      </c>
      <c r="Q18" s="4">
        <v>0.3</v>
      </c>
      <c r="R18" s="177" cm="1">
        <f t="array" ref="R18">INDEX(FPLBillHistory_BilledPricePerKW_Range, MATCH(1, (A18&gt;=FPLBillHistory_BillFromDate_Range)*(A18&lt;=FPLBillHistory_BillToDate_Range), 0))</f>
        <v>0.13702267739575713</v>
      </c>
      <c r="S18" s="64">
        <f t="shared" si="28"/>
        <v>11.4</v>
      </c>
      <c r="T18" s="3">
        <f t="shared" si="29"/>
        <v>1.3702267739575713</v>
      </c>
      <c r="U18" s="3">
        <f t="shared" si="30"/>
        <v>12.770226773957571</v>
      </c>
      <c r="V18" s="4">
        <v>2.75</v>
      </c>
      <c r="W18" s="3">
        <f t="shared" si="14"/>
        <v>4</v>
      </c>
      <c r="X18" s="3">
        <f t="shared" ref="X18:X68" si="31">V18*W18</f>
        <v>11</v>
      </c>
      <c r="Y18" s="7">
        <f t="shared" ref="Y18:Y68" si="32">X18-U18</f>
        <v>-1.770226773957571</v>
      </c>
      <c r="Z18" s="5">
        <f t="shared" ref="Z18:Z68" si="33">IFERROR((X18-U18)/X18,0)</f>
        <v>-0.16092970672341556</v>
      </c>
      <c r="AA18" s="7">
        <f t="shared" ref="AA18:AA68" si="34">G18*Q18-G18*R18</f>
        <v>1.6297732260424287</v>
      </c>
      <c r="AB18" s="3">
        <f t="shared" si="22"/>
        <v>14.399999999999999</v>
      </c>
      <c r="AC18" s="3">
        <f t="shared" si="23"/>
        <v>11</v>
      </c>
      <c r="AD18" s="3">
        <f t="shared" si="24"/>
        <v>6.5770885149963423</v>
      </c>
      <c r="AE18" s="3">
        <f t="shared" si="25"/>
        <v>-3.3999999999999986</v>
      </c>
      <c r="AF18" s="3">
        <f t="shared" si="26"/>
        <v>4.4229114850036577</v>
      </c>
      <c r="AG18" s="3">
        <f t="shared" si="27"/>
        <v>7.8229114850036563</v>
      </c>
      <c r="AH18" s="112">
        <f>'Gas Chemistry'!$B$11*$W18</f>
        <v>78.400000000000006</v>
      </c>
      <c r="AI18" s="112">
        <f>'Gas Chemistry'!$B$12*$W18</f>
        <v>32</v>
      </c>
      <c r="AJ18" s="112">
        <v>0</v>
      </c>
      <c r="AK18" s="112">
        <f>'Gas Chemistry'!$B$13*$W18</f>
        <v>0.08</v>
      </c>
      <c r="AL18" s="112">
        <f>'Gas Chemistry'!$B$14*$W18</f>
        <v>0.04</v>
      </c>
      <c r="AM18" s="112">
        <f>'Gas Chemistry'!$B$15*$W18</f>
        <v>8.0000000000000002E-3</v>
      </c>
      <c r="AN18" s="112">
        <f>'Gas Chemistry'!$B$16*$W18</f>
        <v>4.0000000000000001E-3</v>
      </c>
      <c r="AO18" s="112">
        <f>'Gas Chemistry'!$B$17*$W18</f>
        <v>1.6E-2</v>
      </c>
      <c r="AP18" s="14">
        <f>H18*Constants!$C$14</f>
        <v>163.77600000000001</v>
      </c>
      <c r="AQ18" s="114">
        <f>'Gas Chemistry'!$C$122*$AP18</f>
        <v>19.161792000000002</v>
      </c>
      <c r="AR18" s="113">
        <f>'Gas Chemistry'!$C$123*$AP18</f>
        <v>23.583743999999999</v>
      </c>
      <c r="AS18" s="113">
        <f>'Gas Chemistry'!$C$127*$AP18</f>
        <v>769.74720000000013</v>
      </c>
      <c r="AT18" s="114">
        <f>'Gas Chemistry'!$C$124*$AP18</f>
        <v>1.3757184E-2</v>
      </c>
      <c r="AU18" s="114">
        <f>'Gas Chemistry'!$C$126*$AP18</f>
        <v>1.6377600000000003E-2</v>
      </c>
      <c r="AV18" s="114">
        <f>'Gas Chemistry'!$C$125*$AP18</f>
        <v>8.1888000000000013E-4</v>
      </c>
      <c r="AW18" s="114">
        <v>0</v>
      </c>
      <c r="AX18" s="114">
        <v>0</v>
      </c>
    </row>
    <row r="19" spans="1:50" x14ac:dyDescent="0.3">
      <c r="A19" s="178">
        <v>45914</v>
      </c>
      <c r="B19" s="109">
        <v>430</v>
      </c>
      <c r="C19" s="158" cm="1">
        <f t="array" ref="C19">IF(B19=0, 0, B19 - INDEX(B$4:B18, MAX(IF(B$4:B18&lt;&gt;0, ROW(B$4:B18)-ROW(B$4)+1))))</f>
        <v>5</v>
      </c>
      <c r="D19" s="109">
        <v>0</v>
      </c>
      <c r="E19" s="109">
        <v>7</v>
      </c>
      <c r="F19" s="109">
        <v>0</v>
      </c>
      <c r="G19" s="158">
        <f t="shared" si="16"/>
        <v>7</v>
      </c>
      <c r="H19" s="158">
        <f t="shared" si="17"/>
        <v>7</v>
      </c>
      <c r="I19" s="109">
        <v>0</v>
      </c>
      <c r="J19" s="109">
        <v>0</v>
      </c>
      <c r="K19" s="158">
        <f t="shared" si="5"/>
        <v>0</v>
      </c>
      <c r="L19" s="16">
        <v>0.83333333333333337</v>
      </c>
      <c r="M19" s="16">
        <v>0.20833333333333334</v>
      </c>
      <c r="N19" s="4">
        <v>9</v>
      </c>
      <c r="O19" s="109">
        <v>0</v>
      </c>
      <c r="P19" s="137">
        <f t="shared" si="10"/>
        <v>0.7142857142857143</v>
      </c>
      <c r="Q19" s="4">
        <v>0.39</v>
      </c>
      <c r="R19" s="177" cm="1">
        <f t="array" ref="R19">INDEX(FPLBillHistory_BilledPricePerKW_Range, MATCH(1, (A19&gt;=FPLBillHistory_BillFromDate_Range)*(A19&lt;=FPLBillHistory_BillToDate_Range), 0))</f>
        <v>0.13702267739575713</v>
      </c>
      <c r="S19" s="64">
        <f t="shared" si="28"/>
        <v>0</v>
      </c>
      <c r="T19" s="3">
        <f t="shared" si="29"/>
        <v>0.95915874177029992</v>
      </c>
      <c r="U19" s="3">
        <f t="shared" si="30"/>
        <v>0.95915874177029992</v>
      </c>
      <c r="V19" s="4">
        <v>2.75</v>
      </c>
      <c r="W19" s="3">
        <f t="shared" si="14"/>
        <v>0.2</v>
      </c>
      <c r="X19" s="3">
        <f t="shared" si="31"/>
        <v>0.55000000000000004</v>
      </c>
      <c r="Y19" s="7">
        <f t="shared" si="32"/>
        <v>-0.40915874177029987</v>
      </c>
      <c r="Z19" s="5">
        <f t="shared" si="33"/>
        <v>-0.74392498503690885</v>
      </c>
      <c r="AA19" s="7">
        <f t="shared" si="34"/>
        <v>1.7708412582297002</v>
      </c>
      <c r="AB19" s="3">
        <f t="shared" si="22"/>
        <v>2.73</v>
      </c>
      <c r="AC19" s="3">
        <f t="shared" si="23"/>
        <v>0.55000000000000004</v>
      </c>
      <c r="AD19" s="3">
        <f t="shared" si="24"/>
        <v>0.95915874177029992</v>
      </c>
      <c r="AE19" s="3">
        <f t="shared" si="25"/>
        <v>-2.1799999999999997</v>
      </c>
      <c r="AF19" s="3">
        <f t="shared" si="26"/>
        <v>-0.40915874177029987</v>
      </c>
      <c r="AG19" s="3">
        <f t="shared" si="27"/>
        <v>1.7708412582297002</v>
      </c>
      <c r="AH19" s="112">
        <f>'Gas Chemistry'!$B$11*$W19</f>
        <v>3.9200000000000004</v>
      </c>
      <c r="AI19" s="112">
        <f>'Gas Chemistry'!$B$12*$W19</f>
        <v>1.6</v>
      </c>
      <c r="AJ19" s="112">
        <v>0</v>
      </c>
      <c r="AK19" s="112">
        <f>'Gas Chemistry'!$B$13*$W19</f>
        <v>4.0000000000000001E-3</v>
      </c>
      <c r="AL19" s="112">
        <f>'Gas Chemistry'!$B$14*$W19</f>
        <v>2E-3</v>
      </c>
      <c r="AM19" s="112">
        <f>'Gas Chemistry'!$B$15*$W19</f>
        <v>4.0000000000000002E-4</v>
      </c>
      <c r="AN19" s="112">
        <f>'Gas Chemistry'!$B$16*$W19</f>
        <v>2.0000000000000001E-4</v>
      </c>
      <c r="AO19" s="112">
        <f>'Gas Chemistry'!$B$17*$W19</f>
        <v>8.0000000000000004E-4</v>
      </c>
      <c r="AP19" s="14">
        <f>H19*Constants!$C$14</f>
        <v>23.884</v>
      </c>
      <c r="AQ19" s="114">
        <f>'Gas Chemistry'!$C$122*$AP19</f>
        <v>2.7944280000000004</v>
      </c>
      <c r="AR19" s="113">
        <f>'Gas Chemistry'!$C$123*$AP19</f>
        <v>3.4392959999999997</v>
      </c>
      <c r="AS19" s="113">
        <f>'Gas Chemistry'!$C$127*$AP19</f>
        <v>112.2548</v>
      </c>
      <c r="AT19" s="114">
        <f>'Gas Chemistry'!$C$124*$AP19</f>
        <v>2.0062560000000001E-3</v>
      </c>
      <c r="AU19" s="114">
        <f>'Gas Chemistry'!$C$126*$AP19</f>
        <v>2.3884000000000002E-3</v>
      </c>
      <c r="AV19" s="114">
        <f>'Gas Chemistry'!$C$125*$AP19</f>
        <v>1.1942000000000001E-4</v>
      </c>
      <c r="AW19" s="114">
        <v>0</v>
      </c>
      <c r="AX19" s="114">
        <v>0</v>
      </c>
    </row>
    <row r="20" spans="1:50" x14ac:dyDescent="0.3">
      <c r="A20" s="178">
        <v>45915</v>
      </c>
      <c r="B20" s="109">
        <v>0</v>
      </c>
      <c r="C20" s="158" cm="1">
        <f t="array" ref="C20">IF(B20=0, 0, B20 - INDEX(B$4:B19, MAX(IF(B$4:B19&lt;&gt;0, ROW(B$4:B19)-ROW(B$4)+1))))</f>
        <v>0</v>
      </c>
      <c r="D20" s="109">
        <v>0</v>
      </c>
      <c r="E20" s="109">
        <v>0</v>
      </c>
      <c r="F20" s="109">
        <v>0</v>
      </c>
      <c r="G20" s="158">
        <f t="shared" si="16"/>
        <v>0</v>
      </c>
      <c r="H20" s="158">
        <f t="shared" si="17"/>
        <v>0</v>
      </c>
      <c r="I20" s="109">
        <v>0</v>
      </c>
      <c r="J20" s="109">
        <v>0</v>
      </c>
      <c r="K20" s="158">
        <f t="shared" si="5"/>
        <v>0</v>
      </c>
      <c r="L20" s="16"/>
      <c r="M20" s="16"/>
      <c r="N20" s="4">
        <v>0</v>
      </c>
      <c r="O20" s="109">
        <v>0</v>
      </c>
      <c r="P20" s="137">
        <f t="shared" si="10"/>
        <v>0</v>
      </c>
      <c r="Q20" s="4">
        <v>0</v>
      </c>
      <c r="R20" s="177" cm="1">
        <f t="array" ref="R20">INDEX(FPLBillHistory_BilledPricePerKW_Range, MATCH(1, (A20&gt;=FPLBillHistory_BillFromDate_Range)*(A20&lt;=FPLBillHistory_BillToDate_Range), 0))</f>
        <v>0.13702267739575713</v>
      </c>
      <c r="S20" s="64">
        <f t="shared" si="28"/>
        <v>0</v>
      </c>
      <c r="T20" s="3">
        <f t="shared" si="29"/>
        <v>0</v>
      </c>
      <c r="U20" s="3">
        <f t="shared" si="30"/>
        <v>0</v>
      </c>
      <c r="V20" s="4">
        <v>0</v>
      </c>
      <c r="W20" s="3">
        <f t="shared" si="14"/>
        <v>0</v>
      </c>
      <c r="X20" s="3">
        <f t="shared" si="31"/>
        <v>0</v>
      </c>
      <c r="Y20" s="7">
        <f t="shared" si="32"/>
        <v>0</v>
      </c>
      <c r="Z20" s="5">
        <f t="shared" si="33"/>
        <v>0</v>
      </c>
      <c r="AA20" s="7">
        <f t="shared" si="34"/>
        <v>0</v>
      </c>
      <c r="AB20" s="3">
        <f t="shared" si="22"/>
        <v>0</v>
      </c>
      <c r="AC20" s="3">
        <f t="shared" si="23"/>
        <v>0</v>
      </c>
      <c r="AD20" s="3">
        <f t="shared" si="24"/>
        <v>0</v>
      </c>
      <c r="AE20" s="3">
        <f t="shared" si="25"/>
        <v>0</v>
      </c>
      <c r="AF20" s="3">
        <f t="shared" si="26"/>
        <v>0</v>
      </c>
      <c r="AG20" s="3">
        <f t="shared" si="27"/>
        <v>0</v>
      </c>
      <c r="AH20" s="112">
        <f>'Gas Chemistry'!$B$11*$W20</f>
        <v>0</v>
      </c>
      <c r="AI20" s="112">
        <f>'Gas Chemistry'!$B$12*$W20</f>
        <v>0</v>
      </c>
      <c r="AJ20" s="112">
        <v>0</v>
      </c>
      <c r="AK20" s="112">
        <f>'Gas Chemistry'!$B$13*$W20</f>
        <v>0</v>
      </c>
      <c r="AL20" s="112">
        <f>'Gas Chemistry'!$B$14*$W20</f>
        <v>0</v>
      </c>
      <c r="AM20" s="112">
        <f>'Gas Chemistry'!$B$15*$W20</f>
        <v>0</v>
      </c>
      <c r="AN20" s="112">
        <f>'Gas Chemistry'!$B$16*$W20</f>
        <v>0</v>
      </c>
      <c r="AO20" s="112">
        <f>'Gas Chemistry'!$B$17*$W20</f>
        <v>0</v>
      </c>
      <c r="AP20" s="14">
        <f>H20*Constants!$C$14</f>
        <v>0</v>
      </c>
      <c r="AQ20" s="114">
        <f>'Gas Chemistry'!$C$122*$AP20</f>
        <v>0</v>
      </c>
      <c r="AR20" s="113">
        <f>'Gas Chemistry'!$C$123*$AP20</f>
        <v>0</v>
      </c>
      <c r="AS20" s="113">
        <f>'Gas Chemistry'!$C$127*$AP20</f>
        <v>0</v>
      </c>
      <c r="AT20" s="114">
        <f>'Gas Chemistry'!$C$124*$AP20</f>
        <v>0</v>
      </c>
      <c r="AU20" s="114">
        <f>'Gas Chemistry'!$C$126*$AP20</f>
        <v>0</v>
      </c>
      <c r="AV20" s="114">
        <f>'Gas Chemistry'!$C$125*$AP20</f>
        <v>0</v>
      </c>
      <c r="AW20" s="114">
        <v>0</v>
      </c>
      <c r="AX20" s="114">
        <v>0</v>
      </c>
    </row>
    <row r="21" spans="1:50" x14ac:dyDescent="0.3">
      <c r="A21" s="178">
        <v>45916</v>
      </c>
      <c r="B21" s="109">
        <v>552</v>
      </c>
      <c r="C21" s="158" cm="1">
        <f t="array" ref="C21">IF(B21=0, 0, B21 - INDEX(B$4:B20, MAX(IF(B$4:B20&lt;&gt;0, ROW(B$4:B20)-ROW(B$4)+1))))</f>
        <v>122</v>
      </c>
      <c r="D21" s="109">
        <v>0</v>
      </c>
      <c r="E21" s="109">
        <v>21</v>
      </c>
      <c r="F21" s="109">
        <v>0</v>
      </c>
      <c r="G21" s="158">
        <f t="shared" si="16"/>
        <v>21</v>
      </c>
      <c r="H21" s="158">
        <f t="shared" si="17"/>
        <v>21</v>
      </c>
      <c r="I21" s="109">
        <v>60</v>
      </c>
      <c r="J21" s="109">
        <v>73</v>
      </c>
      <c r="K21" s="158">
        <f t="shared" si="5"/>
        <v>13</v>
      </c>
      <c r="L21" s="16">
        <v>0.83333333333333337</v>
      </c>
      <c r="M21" s="16">
        <v>0.20833333333333334</v>
      </c>
      <c r="N21" s="4">
        <v>18</v>
      </c>
      <c r="O21" s="109">
        <v>0</v>
      </c>
      <c r="P21" s="137">
        <f t="shared" si="10"/>
        <v>5.8095238095238093</v>
      </c>
      <c r="Q21" s="4">
        <v>0.39</v>
      </c>
      <c r="R21" s="177" cm="1">
        <f t="array" ref="R21">INDEX(FPLBillHistory_BilledPricePerKW_Range, MATCH(1, (A21&gt;=FPLBillHistory_BillFromDate_Range)*(A21&lt;=FPLBillHistory_BillToDate_Range), 0))</f>
        <v>0.13702267739575713</v>
      </c>
      <c r="S21" s="64">
        <f t="shared" si="28"/>
        <v>0</v>
      </c>
      <c r="T21" s="3">
        <f t="shared" si="29"/>
        <v>2.8774762253108999</v>
      </c>
      <c r="U21" s="3">
        <f t="shared" si="30"/>
        <v>2.8774762253108999</v>
      </c>
      <c r="V21" s="4">
        <v>2.75</v>
      </c>
      <c r="W21" s="3">
        <f t="shared" si="14"/>
        <v>4.88</v>
      </c>
      <c r="X21" s="3">
        <f t="shared" si="31"/>
        <v>13.42</v>
      </c>
      <c r="Y21" s="7">
        <f t="shared" si="32"/>
        <v>10.5425237746891</v>
      </c>
      <c r="Z21" s="5">
        <f t="shared" si="33"/>
        <v>0.78558299364300299</v>
      </c>
      <c r="AA21" s="7">
        <f t="shared" si="34"/>
        <v>5.3125237746890992</v>
      </c>
      <c r="AB21" s="3">
        <f t="shared" si="22"/>
        <v>8.19</v>
      </c>
      <c r="AC21" s="3">
        <f t="shared" si="23"/>
        <v>13.42</v>
      </c>
      <c r="AD21" s="3">
        <f t="shared" si="24"/>
        <v>2.8774762253108999</v>
      </c>
      <c r="AE21" s="3">
        <f t="shared" si="25"/>
        <v>5.23</v>
      </c>
      <c r="AF21" s="3">
        <f t="shared" si="26"/>
        <v>10.5425237746891</v>
      </c>
      <c r="AG21" s="3">
        <f t="shared" si="27"/>
        <v>5.3125237746890992</v>
      </c>
      <c r="AH21" s="112">
        <f>'Gas Chemistry'!$B$11*$W21</f>
        <v>95.64800000000001</v>
      </c>
      <c r="AI21" s="112">
        <f>'Gas Chemistry'!$B$12*$W21</f>
        <v>39.04</v>
      </c>
      <c r="AJ21" s="112">
        <v>0</v>
      </c>
      <c r="AK21" s="112">
        <f>'Gas Chemistry'!$B$13*$W21</f>
        <v>9.7600000000000006E-2</v>
      </c>
      <c r="AL21" s="112">
        <f>'Gas Chemistry'!$B$14*$W21</f>
        <v>4.8800000000000003E-2</v>
      </c>
      <c r="AM21" s="112">
        <f>'Gas Chemistry'!$B$15*$W21</f>
        <v>9.7599999999999996E-3</v>
      </c>
      <c r="AN21" s="112">
        <f>'Gas Chemistry'!$B$16*$W21</f>
        <v>4.8799999999999998E-3</v>
      </c>
      <c r="AO21" s="112">
        <f>'Gas Chemistry'!$B$17*$W21</f>
        <v>1.9519999999999999E-2</v>
      </c>
      <c r="AP21" s="14">
        <f>H21*Constants!$C$14</f>
        <v>71.652000000000001</v>
      </c>
      <c r="AQ21" s="114">
        <f>'Gas Chemistry'!$C$122*$AP21</f>
        <v>8.3832839999999997</v>
      </c>
      <c r="AR21" s="113">
        <f>'Gas Chemistry'!$C$123*$AP21</f>
        <v>10.317888</v>
      </c>
      <c r="AS21" s="113">
        <f>'Gas Chemistry'!$C$127*$AP21</f>
        <v>336.76440000000002</v>
      </c>
      <c r="AT21" s="114">
        <f>'Gas Chemistry'!$C$124*$AP21</f>
        <v>6.0187679999999999E-3</v>
      </c>
      <c r="AU21" s="114">
        <f>'Gas Chemistry'!$C$126*$AP21</f>
        <v>7.1652E-3</v>
      </c>
      <c r="AV21" s="114">
        <f>'Gas Chemistry'!$C$125*$AP21</f>
        <v>3.5826000000000006E-4</v>
      </c>
      <c r="AW21" s="114">
        <v>0</v>
      </c>
      <c r="AX21" s="114">
        <v>0</v>
      </c>
    </row>
    <row r="22" spans="1:50" x14ac:dyDescent="0.3">
      <c r="A22" s="178">
        <v>45917</v>
      </c>
      <c r="B22" s="109">
        <v>561</v>
      </c>
      <c r="C22" s="158" cm="1">
        <f t="array" ref="C22">IF(B22=0, 0, B22 - INDEX(B$4:B21, MAX(IF(B$4:B21&lt;&gt;0, ROW(B$4:B21)-ROW(B$4)+1))))</f>
        <v>9</v>
      </c>
      <c r="D22" s="109">
        <v>0</v>
      </c>
      <c r="E22" s="109">
        <v>8</v>
      </c>
      <c r="F22" s="109">
        <v>0</v>
      </c>
      <c r="G22" s="158">
        <f t="shared" si="16"/>
        <v>8</v>
      </c>
      <c r="H22" s="158">
        <f t="shared" si="17"/>
        <v>8</v>
      </c>
      <c r="I22" s="109">
        <v>70</v>
      </c>
      <c r="J22" s="109">
        <v>80</v>
      </c>
      <c r="K22" s="158">
        <f t="shared" si="5"/>
        <v>10</v>
      </c>
      <c r="L22" s="16">
        <v>0.83333333333333337</v>
      </c>
      <c r="M22" s="16">
        <v>0.20833333333333334</v>
      </c>
      <c r="N22" s="4">
        <v>9</v>
      </c>
      <c r="O22" s="109">
        <v>282</v>
      </c>
      <c r="P22" s="137">
        <f t="shared" si="10"/>
        <v>1.125</v>
      </c>
      <c r="Q22" s="4">
        <v>0.39</v>
      </c>
      <c r="R22" s="177" cm="1">
        <f t="array" ref="R22">INDEX(FPLBillHistory_BilledPricePerKW_Range, MATCH(1, (A22&gt;=FPLBillHistory_BillFromDate_Range)*(A22&lt;=FPLBillHistory_BillToDate_Range), 0))</f>
        <v>0.13702267739575713</v>
      </c>
      <c r="S22" s="64">
        <f t="shared" si="28"/>
        <v>0</v>
      </c>
      <c r="T22" s="3">
        <f t="shared" si="29"/>
        <v>1.096181419166057</v>
      </c>
      <c r="U22" s="3">
        <f t="shared" si="30"/>
        <v>1.096181419166057</v>
      </c>
      <c r="V22" s="4">
        <v>2.75</v>
      </c>
      <c r="W22" s="3">
        <f t="shared" si="14"/>
        <v>0.36</v>
      </c>
      <c r="X22" s="3">
        <f t="shared" si="31"/>
        <v>0.99</v>
      </c>
      <c r="Y22" s="7">
        <f t="shared" si="32"/>
        <v>-0.10618141916605706</v>
      </c>
      <c r="Z22" s="5">
        <f t="shared" si="33"/>
        <v>-0.10725395875359299</v>
      </c>
      <c r="AA22" s="7">
        <f t="shared" si="34"/>
        <v>2.0238185808339431</v>
      </c>
      <c r="AB22" s="3">
        <f t="shared" si="22"/>
        <v>3.12</v>
      </c>
      <c r="AC22" s="3">
        <f t="shared" si="23"/>
        <v>0.99</v>
      </c>
      <c r="AD22" s="3">
        <f t="shared" si="24"/>
        <v>1.096181419166057</v>
      </c>
      <c r="AE22" s="3">
        <f t="shared" si="25"/>
        <v>-2.13</v>
      </c>
      <c r="AF22" s="3">
        <f t="shared" si="26"/>
        <v>-0.10618141916605706</v>
      </c>
      <c r="AG22" s="3">
        <f t="shared" si="27"/>
        <v>2.0238185808339431</v>
      </c>
      <c r="AH22" s="112">
        <f>'Gas Chemistry'!$B$11*$W22</f>
        <v>7.056</v>
      </c>
      <c r="AI22" s="112">
        <f>'Gas Chemistry'!$B$12*$W22</f>
        <v>2.88</v>
      </c>
      <c r="AJ22" s="112">
        <v>0</v>
      </c>
      <c r="AK22" s="112">
        <f>'Gas Chemistry'!$B$13*$W22</f>
        <v>7.1999999999999998E-3</v>
      </c>
      <c r="AL22" s="112">
        <f>'Gas Chemistry'!$B$14*$W22</f>
        <v>3.5999999999999999E-3</v>
      </c>
      <c r="AM22" s="112">
        <f>'Gas Chemistry'!$B$15*$W22</f>
        <v>7.1999999999999994E-4</v>
      </c>
      <c r="AN22" s="112">
        <f>'Gas Chemistry'!$B$16*$W22</f>
        <v>3.5999999999999997E-4</v>
      </c>
      <c r="AO22" s="112">
        <f>'Gas Chemistry'!$B$17*$W22</f>
        <v>1.4399999999999999E-3</v>
      </c>
      <c r="AP22" s="14">
        <f>H22*Constants!$C$14</f>
        <v>27.295999999999999</v>
      </c>
      <c r="AQ22" s="114">
        <f>'Gas Chemistry'!$C$122*$AP22</f>
        <v>3.193632</v>
      </c>
      <c r="AR22" s="113">
        <f>'Gas Chemistry'!$C$123*$AP22</f>
        <v>3.9306239999999995</v>
      </c>
      <c r="AS22" s="113">
        <f>'Gas Chemistry'!$C$127*$AP22</f>
        <v>128.2912</v>
      </c>
      <c r="AT22" s="114">
        <f>'Gas Chemistry'!$C$124*$AP22</f>
        <v>2.2928639999999999E-3</v>
      </c>
      <c r="AU22" s="114">
        <f>'Gas Chemistry'!$C$126*$AP22</f>
        <v>2.7296E-3</v>
      </c>
      <c r="AV22" s="114">
        <f>'Gas Chemistry'!$C$125*$AP22</f>
        <v>1.3648000000000002E-4</v>
      </c>
      <c r="AW22" s="114">
        <v>0</v>
      </c>
      <c r="AX22" s="114">
        <v>0</v>
      </c>
    </row>
    <row r="23" spans="1:50" x14ac:dyDescent="0.3">
      <c r="A23" s="178">
        <v>45918</v>
      </c>
      <c r="B23" s="109">
        <v>569</v>
      </c>
      <c r="C23" s="158" cm="1">
        <f t="array" ref="C23">IF(B23=0, 0, B23 - INDEX(B$4:B22, MAX(IF(B$4:B22&lt;&gt;0, ROW(B$4:B22)-ROW(B$4)+1))))</f>
        <v>8</v>
      </c>
      <c r="D23" s="109">
        <v>0</v>
      </c>
      <c r="E23" s="109">
        <v>7</v>
      </c>
      <c r="F23" s="109">
        <v>0</v>
      </c>
      <c r="G23" s="158">
        <f t="shared" si="16"/>
        <v>7</v>
      </c>
      <c r="H23" s="158">
        <f t="shared" si="17"/>
        <v>7</v>
      </c>
      <c r="I23" s="109">
        <v>73</v>
      </c>
      <c r="J23" s="109">
        <v>80</v>
      </c>
      <c r="K23" s="158">
        <f t="shared" si="5"/>
        <v>7</v>
      </c>
      <c r="L23" s="16">
        <v>0.83333333333333337</v>
      </c>
      <c r="M23" s="16">
        <v>0.20833333333333334</v>
      </c>
      <c r="N23" s="4">
        <v>9</v>
      </c>
      <c r="O23" s="109">
        <v>282</v>
      </c>
      <c r="P23" s="137">
        <f t="shared" si="10"/>
        <v>1.1428571428571428</v>
      </c>
      <c r="Q23" s="4">
        <v>0.39</v>
      </c>
      <c r="R23" s="177" cm="1">
        <f t="array" ref="R23">INDEX(FPLBillHistory_BilledPricePerKW_Range, MATCH(1, (A23&gt;=FPLBillHistory_BillFromDate_Range)*(A23&lt;=FPLBillHistory_BillToDate_Range), 0))</f>
        <v>0.13702267739575713</v>
      </c>
      <c r="S23" s="64">
        <f t="shared" si="28"/>
        <v>0</v>
      </c>
      <c r="T23" s="3">
        <f t="shared" si="29"/>
        <v>0.95915874177029992</v>
      </c>
      <c r="U23" s="3">
        <f t="shared" si="30"/>
        <v>0.95915874177029992</v>
      </c>
      <c r="V23" s="4">
        <v>2.75</v>
      </c>
      <c r="W23" s="3">
        <f t="shared" si="14"/>
        <v>0.32</v>
      </c>
      <c r="X23" s="3">
        <f t="shared" si="31"/>
        <v>0.88</v>
      </c>
      <c r="Y23" s="7">
        <f t="shared" si="32"/>
        <v>-7.9158741770299912E-2</v>
      </c>
      <c r="Z23" s="5">
        <f t="shared" si="33"/>
        <v>-8.9953115648068085E-2</v>
      </c>
      <c r="AA23" s="7">
        <f t="shared" si="34"/>
        <v>1.7708412582297002</v>
      </c>
      <c r="AB23" s="3">
        <f t="shared" si="22"/>
        <v>2.73</v>
      </c>
      <c r="AC23" s="3">
        <f t="shared" si="23"/>
        <v>0.88</v>
      </c>
      <c r="AD23" s="3">
        <f t="shared" si="24"/>
        <v>0.95915874177029992</v>
      </c>
      <c r="AE23" s="3">
        <f t="shared" si="25"/>
        <v>-1.85</v>
      </c>
      <c r="AF23" s="3">
        <f t="shared" si="26"/>
        <v>-7.9158741770299912E-2</v>
      </c>
      <c r="AG23" s="3">
        <f t="shared" si="27"/>
        <v>1.7708412582297002</v>
      </c>
      <c r="AH23" s="112">
        <f>'Gas Chemistry'!$B$11*$W23</f>
        <v>6.2720000000000002</v>
      </c>
      <c r="AI23" s="112">
        <f>'Gas Chemistry'!$B$12*$W23</f>
        <v>2.56</v>
      </c>
      <c r="AJ23" s="112">
        <v>0</v>
      </c>
      <c r="AK23" s="112">
        <f>'Gas Chemistry'!$B$13*$W23</f>
        <v>6.4000000000000003E-3</v>
      </c>
      <c r="AL23" s="112">
        <f>'Gas Chemistry'!$B$14*$W23</f>
        <v>3.2000000000000002E-3</v>
      </c>
      <c r="AM23" s="112">
        <f>'Gas Chemistry'!$B$15*$W23</f>
        <v>6.4000000000000005E-4</v>
      </c>
      <c r="AN23" s="112">
        <f>'Gas Chemistry'!$B$16*$W23</f>
        <v>3.2000000000000003E-4</v>
      </c>
      <c r="AO23" s="112">
        <f>'Gas Chemistry'!$B$17*$W23</f>
        <v>1.2800000000000001E-3</v>
      </c>
      <c r="AP23" s="14">
        <f>H23*Constants!$C$14</f>
        <v>23.884</v>
      </c>
      <c r="AQ23" s="114">
        <f>'Gas Chemistry'!$C$122*$AP23</f>
        <v>2.7944280000000004</v>
      </c>
      <c r="AR23" s="113">
        <f>'Gas Chemistry'!$C$123*$AP23</f>
        <v>3.4392959999999997</v>
      </c>
      <c r="AS23" s="113">
        <f>'Gas Chemistry'!$C$127*$AP23</f>
        <v>112.2548</v>
      </c>
      <c r="AT23" s="114">
        <f>'Gas Chemistry'!$C$124*$AP23</f>
        <v>2.0062560000000001E-3</v>
      </c>
      <c r="AU23" s="114">
        <f>'Gas Chemistry'!$C$126*$AP23</f>
        <v>2.3884000000000002E-3</v>
      </c>
      <c r="AV23" s="114">
        <f>'Gas Chemistry'!$C$125*$AP23</f>
        <v>1.1942000000000001E-4</v>
      </c>
      <c r="AW23" s="114">
        <v>0</v>
      </c>
      <c r="AX23" s="114">
        <v>0</v>
      </c>
    </row>
    <row r="24" spans="1:50" x14ac:dyDescent="0.3">
      <c r="A24" s="178">
        <v>45919</v>
      </c>
      <c r="B24" s="109">
        <v>594</v>
      </c>
      <c r="C24" s="158" cm="1">
        <f t="array" ref="C24">IF(B24=0, 0, B24 - INDEX(B$4:B23, MAX(IF(B$4:B23&lt;&gt;0, ROW(B$4:B23)-ROW(B$4)+1))))</f>
        <v>25</v>
      </c>
      <c r="D24" s="109">
        <v>0</v>
      </c>
      <c r="E24" s="109">
        <v>7</v>
      </c>
      <c r="F24" s="109">
        <v>0</v>
      </c>
      <c r="G24" s="158">
        <f t="shared" si="16"/>
        <v>7</v>
      </c>
      <c r="H24" s="158">
        <f t="shared" si="17"/>
        <v>7</v>
      </c>
      <c r="I24" s="109">
        <v>71</v>
      </c>
      <c r="J24" s="109">
        <v>80</v>
      </c>
      <c r="K24" s="158">
        <f t="shared" si="5"/>
        <v>9</v>
      </c>
      <c r="L24" s="16">
        <v>0.83333333333333337</v>
      </c>
      <c r="M24" s="16">
        <v>0.20833333333333334</v>
      </c>
      <c r="N24" s="4">
        <v>9</v>
      </c>
      <c r="O24" s="109">
        <v>282</v>
      </c>
      <c r="P24" s="137">
        <f t="shared" si="10"/>
        <v>3.5714285714285716</v>
      </c>
      <c r="Q24" s="4">
        <v>0.39</v>
      </c>
      <c r="R24" s="177" cm="1">
        <f t="array" ref="R24">INDEX(FPLBillHistory_BilledPricePerKW_Range, MATCH(1, (A24&gt;=FPLBillHistory_BillFromDate_Range)*(A24&lt;=FPLBillHistory_BillToDate_Range), 0))</f>
        <v>0.13702267739575713</v>
      </c>
      <c r="S24" s="64">
        <f t="shared" si="28"/>
        <v>0</v>
      </c>
      <c r="T24" s="3">
        <f t="shared" si="29"/>
        <v>0.95915874177029992</v>
      </c>
      <c r="U24" s="3">
        <f t="shared" si="30"/>
        <v>0.95915874177029992</v>
      </c>
      <c r="V24" s="4">
        <v>2.75</v>
      </c>
      <c r="W24" s="3">
        <f t="shared" si="14"/>
        <v>1</v>
      </c>
      <c r="X24" s="3">
        <f t="shared" si="31"/>
        <v>2.75</v>
      </c>
      <c r="Y24" s="7">
        <f t="shared" si="32"/>
        <v>1.7908412582297002</v>
      </c>
      <c r="Z24" s="5">
        <f t="shared" si="33"/>
        <v>0.65121500299261825</v>
      </c>
      <c r="AA24" s="7">
        <f t="shared" si="34"/>
        <v>1.7708412582297002</v>
      </c>
      <c r="AB24" s="3">
        <f t="shared" si="22"/>
        <v>2.73</v>
      </c>
      <c r="AC24" s="3">
        <f t="shared" si="23"/>
        <v>2.75</v>
      </c>
      <c r="AD24" s="3">
        <f t="shared" si="24"/>
        <v>0.95915874177029992</v>
      </c>
      <c r="AE24" s="3">
        <f t="shared" si="25"/>
        <v>2.0000000000000018E-2</v>
      </c>
      <c r="AF24" s="3">
        <f t="shared" si="26"/>
        <v>1.7908412582297002</v>
      </c>
      <c r="AG24" s="3">
        <f t="shared" si="27"/>
        <v>1.7708412582297002</v>
      </c>
      <c r="AH24" s="112">
        <f>'Gas Chemistry'!$B$11*$W24</f>
        <v>19.600000000000001</v>
      </c>
      <c r="AI24" s="112">
        <f>'Gas Chemistry'!$B$12*$W24</f>
        <v>8</v>
      </c>
      <c r="AJ24" s="112">
        <v>0</v>
      </c>
      <c r="AK24" s="112">
        <f>'Gas Chemistry'!$B$13*$W24</f>
        <v>0.02</v>
      </c>
      <c r="AL24" s="112">
        <f>'Gas Chemistry'!$B$14*$W24</f>
        <v>0.01</v>
      </c>
      <c r="AM24" s="112">
        <f>'Gas Chemistry'!$B$15*$W24</f>
        <v>2E-3</v>
      </c>
      <c r="AN24" s="112">
        <f>'Gas Chemistry'!$B$16*$W24</f>
        <v>1E-3</v>
      </c>
      <c r="AO24" s="112">
        <f>'Gas Chemistry'!$B$17*$W24</f>
        <v>4.0000000000000001E-3</v>
      </c>
      <c r="AP24" s="14">
        <f>H24*Constants!$C$14</f>
        <v>23.884</v>
      </c>
      <c r="AQ24" s="114">
        <f>'Gas Chemistry'!$C$122*$AP24</f>
        <v>2.7944280000000004</v>
      </c>
      <c r="AR24" s="113">
        <f>'Gas Chemistry'!$C$123*$AP24</f>
        <v>3.4392959999999997</v>
      </c>
      <c r="AS24" s="113">
        <f>'Gas Chemistry'!$C$127*$AP24</f>
        <v>112.2548</v>
      </c>
      <c r="AT24" s="114">
        <f>'Gas Chemistry'!$C$124*$AP24</f>
        <v>2.0062560000000001E-3</v>
      </c>
      <c r="AU24" s="114">
        <f>'Gas Chemistry'!$C$126*$AP24</f>
        <v>2.3884000000000002E-3</v>
      </c>
      <c r="AV24" s="114">
        <f>'Gas Chemistry'!$C$125*$AP24</f>
        <v>1.1942000000000001E-4</v>
      </c>
      <c r="AW24" s="114">
        <v>0</v>
      </c>
      <c r="AX24" s="114">
        <v>0</v>
      </c>
    </row>
    <row r="25" spans="1:50" x14ac:dyDescent="0.3">
      <c r="A25" s="178">
        <v>45920</v>
      </c>
      <c r="B25" s="109">
        <v>676</v>
      </c>
      <c r="C25" s="158" cm="1">
        <f t="array" ref="C25">IF(B25=0, 0, B25 - INDEX(B$4:B24, MAX(IF(B$4:B24&lt;&gt;0, ROW(B$4:B24)-ROW(B$4)+1))))</f>
        <v>82</v>
      </c>
      <c r="D25" s="109">
        <v>0</v>
      </c>
      <c r="E25" s="109">
        <v>13</v>
      </c>
      <c r="F25" s="109">
        <v>0</v>
      </c>
      <c r="G25" s="158">
        <f t="shared" si="16"/>
        <v>13</v>
      </c>
      <c r="H25" s="158">
        <f t="shared" si="17"/>
        <v>13</v>
      </c>
      <c r="I25" s="109">
        <v>51</v>
      </c>
      <c r="J25" s="109">
        <v>70</v>
      </c>
      <c r="K25" s="158">
        <f t="shared" si="5"/>
        <v>19</v>
      </c>
      <c r="L25" s="16">
        <v>0.83333333333333337</v>
      </c>
      <c r="M25" s="16">
        <v>0.375</v>
      </c>
      <c r="N25" s="4">
        <v>13</v>
      </c>
      <c r="O25" s="109">
        <v>248</v>
      </c>
      <c r="P25" s="137">
        <f t="shared" si="10"/>
        <v>6.3076923076923075</v>
      </c>
      <c r="Q25" s="4">
        <v>0.39</v>
      </c>
      <c r="R25" s="177" cm="1">
        <f t="array" ref="R25">INDEX(FPLBillHistory_BilledPricePerKW_Range, MATCH(1, (A25&gt;=FPLBillHistory_BillFromDate_Range)*(A25&lt;=FPLBillHistory_BillToDate_Range), 0))</f>
        <v>0.13702267739575713</v>
      </c>
      <c r="S25" s="64">
        <f t="shared" si="28"/>
        <v>0</v>
      </c>
      <c r="T25" s="3">
        <f t="shared" si="29"/>
        <v>1.7812948061448428</v>
      </c>
      <c r="U25" s="3">
        <f t="shared" si="30"/>
        <v>1.7812948061448428</v>
      </c>
      <c r="V25" s="4">
        <v>2.75</v>
      </c>
      <c r="W25" s="3">
        <f t="shared" si="14"/>
        <v>3.28</v>
      </c>
      <c r="X25" s="3">
        <f t="shared" si="31"/>
        <v>9.02</v>
      </c>
      <c r="Y25" s="7">
        <f t="shared" si="32"/>
        <v>7.2387051938551572</v>
      </c>
      <c r="Z25" s="5">
        <f t="shared" si="33"/>
        <v>0.80251720552717931</v>
      </c>
      <c r="AA25" s="7">
        <f t="shared" si="34"/>
        <v>3.2887051938551575</v>
      </c>
      <c r="AB25" s="3">
        <f t="shared" si="22"/>
        <v>5.07</v>
      </c>
      <c r="AC25" s="3">
        <f t="shared" si="23"/>
        <v>9.02</v>
      </c>
      <c r="AD25" s="3">
        <f t="shared" si="24"/>
        <v>1.7812948061448428</v>
      </c>
      <c r="AE25" s="3">
        <f t="shared" si="25"/>
        <v>3.9499999999999993</v>
      </c>
      <c r="AF25" s="3">
        <f t="shared" si="26"/>
        <v>7.2387051938551572</v>
      </c>
      <c r="AG25" s="3">
        <f t="shared" si="27"/>
        <v>3.2887051938551575</v>
      </c>
      <c r="AH25" s="112">
        <f>'Gas Chemistry'!$B$11*$W25</f>
        <v>64.287999999999997</v>
      </c>
      <c r="AI25" s="112">
        <f>'Gas Chemistry'!$B$12*$W25</f>
        <v>26.24</v>
      </c>
      <c r="AJ25" s="112">
        <v>0</v>
      </c>
      <c r="AK25" s="112">
        <f>'Gas Chemistry'!$B$13*$W25</f>
        <v>6.5599999999999992E-2</v>
      </c>
      <c r="AL25" s="112">
        <f>'Gas Chemistry'!$B$14*$W25</f>
        <v>3.2799999999999996E-2</v>
      </c>
      <c r="AM25" s="112">
        <f>'Gas Chemistry'!$B$15*$W25</f>
        <v>6.5599999999999999E-3</v>
      </c>
      <c r="AN25" s="112">
        <f>'Gas Chemistry'!$B$16*$W25</f>
        <v>3.2799999999999999E-3</v>
      </c>
      <c r="AO25" s="112">
        <f>'Gas Chemistry'!$B$17*$W25</f>
        <v>1.312E-2</v>
      </c>
      <c r="AP25" s="14">
        <f>H25*Constants!$C$14</f>
        <v>44.356000000000002</v>
      </c>
      <c r="AQ25" s="114">
        <f>'Gas Chemistry'!$C$122*$AP25</f>
        <v>5.1896520000000006</v>
      </c>
      <c r="AR25" s="113">
        <f>'Gas Chemistry'!$C$123*$AP25</f>
        <v>6.3872640000000001</v>
      </c>
      <c r="AS25" s="113">
        <f>'Gas Chemistry'!$C$127*$AP25</f>
        <v>208.47320000000002</v>
      </c>
      <c r="AT25" s="114">
        <f>'Gas Chemistry'!$C$124*$AP25</f>
        <v>3.7259039999999999E-3</v>
      </c>
      <c r="AU25" s="114">
        <f>'Gas Chemistry'!$C$126*$AP25</f>
        <v>4.4356000000000005E-3</v>
      </c>
      <c r="AV25" s="114">
        <f>'Gas Chemistry'!$C$125*$AP25</f>
        <v>2.2178000000000003E-4</v>
      </c>
      <c r="AW25" s="114">
        <v>0</v>
      </c>
      <c r="AX25" s="114">
        <v>0</v>
      </c>
    </row>
    <row r="26" spans="1:50" x14ac:dyDescent="0.3">
      <c r="A26" s="178">
        <v>45921</v>
      </c>
      <c r="B26" s="109">
        <v>682</v>
      </c>
      <c r="C26" s="158" cm="1">
        <f t="array" ref="C26">IF(B26=0, 0, B26 - INDEX(B$4:B25, MAX(IF(B$4:B25&lt;&gt;0, ROW(B$4:B25)-ROW(B$4)+1))))</f>
        <v>6</v>
      </c>
      <c r="D26" s="109">
        <v>0</v>
      </c>
      <c r="E26" s="109">
        <v>15</v>
      </c>
      <c r="F26" s="109">
        <v>0</v>
      </c>
      <c r="G26" s="158">
        <f t="shared" si="16"/>
        <v>15</v>
      </c>
      <c r="H26" s="158">
        <f t="shared" si="17"/>
        <v>15</v>
      </c>
      <c r="I26" s="109">
        <v>62</v>
      </c>
      <c r="J26" s="109">
        <v>78</v>
      </c>
      <c r="K26" s="158">
        <f t="shared" si="5"/>
        <v>16</v>
      </c>
      <c r="L26" s="16">
        <v>0.875</v>
      </c>
      <c r="M26" s="16">
        <v>0.375</v>
      </c>
      <c r="N26" s="4">
        <v>12</v>
      </c>
      <c r="O26" s="109">
        <v>276</v>
      </c>
      <c r="P26" s="137">
        <f t="shared" si="10"/>
        <v>0.4</v>
      </c>
      <c r="Q26" s="4">
        <v>0.39</v>
      </c>
      <c r="R26" s="177" cm="1">
        <f t="array" ref="R26">INDEX(FPLBillHistory_BilledPricePerKW_Range, MATCH(1, (A26&gt;=FPLBillHistory_BillFromDate_Range)*(A26&lt;=FPLBillHistory_BillToDate_Range), 0))</f>
        <v>0.13702267739575713</v>
      </c>
      <c r="S26" s="64">
        <f t="shared" si="28"/>
        <v>0</v>
      </c>
      <c r="T26" s="3">
        <f t="shared" si="29"/>
        <v>2.0553401609363569</v>
      </c>
      <c r="U26" s="3">
        <f t="shared" si="30"/>
        <v>2.0553401609363569</v>
      </c>
      <c r="V26" s="4">
        <v>2.75</v>
      </c>
      <c r="W26" s="3">
        <f t="shared" si="14"/>
        <v>0.24</v>
      </c>
      <c r="X26" s="3">
        <f t="shared" si="31"/>
        <v>0.65999999999999992</v>
      </c>
      <c r="Y26" s="7">
        <f t="shared" si="32"/>
        <v>-1.3953401609363569</v>
      </c>
      <c r="Z26" s="5">
        <f t="shared" si="33"/>
        <v>-2.1141517589944803</v>
      </c>
      <c r="AA26" s="7">
        <f t="shared" si="34"/>
        <v>3.7946598390636437</v>
      </c>
      <c r="AB26" s="3">
        <f t="shared" si="22"/>
        <v>5.8500000000000005</v>
      </c>
      <c r="AC26" s="3">
        <f t="shared" si="23"/>
        <v>0.65999999999999992</v>
      </c>
      <c r="AD26" s="3">
        <f t="shared" si="24"/>
        <v>2.0553401609363569</v>
      </c>
      <c r="AE26" s="3">
        <f t="shared" si="25"/>
        <v>-5.19</v>
      </c>
      <c r="AF26" s="3">
        <f t="shared" si="26"/>
        <v>-1.3953401609363569</v>
      </c>
      <c r="AG26" s="3">
        <f t="shared" si="27"/>
        <v>3.7946598390636437</v>
      </c>
      <c r="AH26" s="112">
        <f>'Gas Chemistry'!$B$11*$W26</f>
        <v>4.7039999999999997</v>
      </c>
      <c r="AI26" s="112">
        <f>'Gas Chemistry'!$B$12*$W26</f>
        <v>1.92</v>
      </c>
      <c r="AJ26" s="112">
        <v>0</v>
      </c>
      <c r="AK26" s="112">
        <f>'Gas Chemistry'!$B$13*$W26</f>
        <v>4.7999999999999996E-3</v>
      </c>
      <c r="AL26" s="112">
        <f>'Gas Chemistry'!$B$14*$W26</f>
        <v>2.3999999999999998E-3</v>
      </c>
      <c r="AM26" s="112">
        <f>'Gas Chemistry'!$B$15*$W26</f>
        <v>4.8000000000000001E-4</v>
      </c>
      <c r="AN26" s="112">
        <f>'Gas Chemistry'!$B$16*$W26</f>
        <v>2.4000000000000001E-4</v>
      </c>
      <c r="AO26" s="112">
        <f>'Gas Chemistry'!$B$17*$W26</f>
        <v>9.6000000000000002E-4</v>
      </c>
      <c r="AP26" s="14">
        <f>H26*Constants!$C$14</f>
        <v>51.18</v>
      </c>
      <c r="AQ26" s="114">
        <f>'Gas Chemistry'!$C$122*$AP26</f>
        <v>5.9880599999999999</v>
      </c>
      <c r="AR26" s="113">
        <f>'Gas Chemistry'!$C$123*$AP26</f>
        <v>7.3699199999999996</v>
      </c>
      <c r="AS26" s="113">
        <f>'Gas Chemistry'!$C$127*$AP26</f>
        <v>240.54600000000002</v>
      </c>
      <c r="AT26" s="114">
        <f>'Gas Chemistry'!$C$124*$AP26</f>
        <v>4.29912E-3</v>
      </c>
      <c r="AU26" s="114">
        <f>'Gas Chemistry'!$C$126*$AP26</f>
        <v>5.1180000000000002E-3</v>
      </c>
      <c r="AV26" s="114">
        <f>'Gas Chemistry'!$C$125*$AP26</f>
        <v>2.5590000000000004E-4</v>
      </c>
      <c r="AW26" s="114">
        <v>0</v>
      </c>
      <c r="AX26" s="114">
        <v>0</v>
      </c>
    </row>
    <row r="27" spans="1:50" x14ac:dyDescent="0.3">
      <c r="A27" s="178">
        <v>45922</v>
      </c>
      <c r="B27" s="109">
        <v>693</v>
      </c>
      <c r="C27" s="158" cm="1">
        <f t="array" ref="C27">IF(B27=0, 0, B27 - INDEX(B$4:B26, MAX(IF(B$4:B26&lt;&gt;0, ROW(B$4:B26)-ROW(B$4)+1))))</f>
        <v>11</v>
      </c>
      <c r="D27" s="109">
        <v>0</v>
      </c>
      <c r="E27" s="109">
        <v>15</v>
      </c>
      <c r="F27" s="109">
        <v>0</v>
      </c>
      <c r="G27" s="158">
        <f t="shared" si="16"/>
        <v>15</v>
      </c>
      <c r="H27" s="158">
        <f t="shared" si="17"/>
        <v>15</v>
      </c>
      <c r="I27" s="109">
        <v>66</v>
      </c>
      <c r="J27" s="109">
        <v>80</v>
      </c>
      <c r="K27" s="158">
        <f t="shared" si="5"/>
        <v>14</v>
      </c>
      <c r="L27" s="16">
        <v>0.83333333333333337</v>
      </c>
      <c r="M27" s="16">
        <v>0.22638888888888889</v>
      </c>
      <c r="N27" s="4">
        <v>9</v>
      </c>
      <c r="O27" s="109">
        <v>282</v>
      </c>
      <c r="P27" s="137">
        <f t="shared" si="10"/>
        <v>0.73333333333333328</v>
      </c>
      <c r="Q27" s="4">
        <v>0.39</v>
      </c>
      <c r="R27" s="177" cm="1">
        <f t="array" ref="R27">INDEX(FPLBillHistory_BilledPricePerKW_Range, MATCH(1, (A27&gt;=FPLBillHistory_BillFromDate_Range)*(A27&lt;=FPLBillHistory_BillToDate_Range), 0))</f>
        <v>0.13702267739575713</v>
      </c>
      <c r="S27" s="64">
        <f t="shared" si="28"/>
        <v>0</v>
      </c>
      <c r="T27" s="3">
        <f t="shared" si="29"/>
        <v>2.0553401609363569</v>
      </c>
      <c r="U27" s="3">
        <f t="shared" si="30"/>
        <v>2.0553401609363569</v>
      </c>
      <c r="V27" s="4">
        <v>2.79</v>
      </c>
      <c r="W27" s="3">
        <f t="shared" si="14"/>
        <v>0.44</v>
      </c>
      <c r="X27" s="3">
        <f t="shared" si="31"/>
        <v>1.2276</v>
      </c>
      <c r="Y27" s="7">
        <f t="shared" si="32"/>
        <v>-0.82774016093635683</v>
      </c>
      <c r="Z27" s="5">
        <f t="shared" si="33"/>
        <v>-0.67427513924434412</v>
      </c>
      <c r="AA27" s="7">
        <f t="shared" si="34"/>
        <v>3.7946598390636437</v>
      </c>
      <c r="AB27" s="3">
        <f t="shared" si="22"/>
        <v>5.8500000000000005</v>
      </c>
      <c r="AC27" s="3">
        <f t="shared" si="23"/>
        <v>1.2276</v>
      </c>
      <c r="AD27" s="3">
        <f t="shared" si="24"/>
        <v>2.0553401609363569</v>
      </c>
      <c r="AE27" s="3">
        <f t="shared" si="25"/>
        <v>-4.6224000000000007</v>
      </c>
      <c r="AF27" s="3">
        <f t="shared" si="26"/>
        <v>-0.82774016093635683</v>
      </c>
      <c r="AG27" s="3">
        <f t="shared" si="27"/>
        <v>3.7946598390636437</v>
      </c>
      <c r="AH27" s="112">
        <f>'Gas Chemistry'!$B$11*$W27</f>
        <v>8.6240000000000006</v>
      </c>
      <c r="AI27" s="112">
        <f>'Gas Chemistry'!$B$12*$W27</f>
        <v>3.52</v>
      </c>
      <c r="AJ27" s="112">
        <v>0</v>
      </c>
      <c r="AK27" s="112">
        <f>'Gas Chemistry'!$B$13*$W27</f>
        <v>8.8000000000000005E-3</v>
      </c>
      <c r="AL27" s="112">
        <f>'Gas Chemistry'!$B$14*$W27</f>
        <v>4.4000000000000003E-3</v>
      </c>
      <c r="AM27" s="112">
        <f>'Gas Chemistry'!$B$15*$W27</f>
        <v>8.8000000000000003E-4</v>
      </c>
      <c r="AN27" s="112">
        <f>'Gas Chemistry'!$B$16*$W27</f>
        <v>4.4000000000000002E-4</v>
      </c>
      <c r="AO27" s="112">
        <f>'Gas Chemistry'!$B$17*$W27</f>
        <v>1.7600000000000001E-3</v>
      </c>
      <c r="AP27" s="14">
        <f>H27*Constants!$C$14</f>
        <v>51.18</v>
      </c>
      <c r="AQ27" s="114">
        <f>'Gas Chemistry'!$C$122*$AP27</f>
        <v>5.9880599999999999</v>
      </c>
      <c r="AR27" s="113">
        <f>'Gas Chemistry'!$C$123*$AP27</f>
        <v>7.3699199999999996</v>
      </c>
      <c r="AS27" s="113">
        <f>'Gas Chemistry'!$C$127*$AP27</f>
        <v>240.54600000000002</v>
      </c>
      <c r="AT27" s="114">
        <f>'Gas Chemistry'!$C$124*$AP27</f>
        <v>4.29912E-3</v>
      </c>
      <c r="AU27" s="114">
        <f>'Gas Chemistry'!$C$126*$AP27</f>
        <v>5.1180000000000002E-3</v>
      </c>
      <c r="AV27" s="114">
        <f>'Gas Chemistry'!$C$125*$AP27</f>
        <v>2.5590000000000004E-4</v>
      </c>
      <c r="AW27" s="114">
        <v>0</v>
      </c>
      <c r="AX27" s="114">
        <v>0</v>
      </c>
    </row>
    <row r="28" spans="1:50" x14ac:dyDescent="0.3">
      <c r="A28" s="178">
        <v>45923</v>
      </c>
      <c r="B28" s="109">
        <v>0</v>
      </c>
      <c r="C28" s="158" cm="1">
        <f t="array" ref="C28">IF(B28=0, 0, B28 - INDEX(B$4:B27, MAX(IF(B$4:B27&lt;&gt;0, ROW(B$4:B27)-ROW(B$4)+1))))</f>
        <v>0</v>
      </c>
      <c r="D28" s="109">
        <v>0</v>
      </c>
      <c r="E28" s="109">
        <v>0</v>
      </c>
      <c r="F28" s="109">
        <v>0</v>
      </c>
      <c r="G28" s="158">
        <f t="shared" si="16"/>
        <v>0</v>
      </c>
      <c r="H28" s="158">
        <f t="shared" si="17"/>
        <v>0</v>
      </c>
      <c r="I28" s="109">
        <v>0</v>
      </c>
      <c r="J28" s="109">
        <v>0</v>
      </c>
      <c r="K28" s="158">
        <f t="shared" si="5"/>
        <v>0</v>
      </c>
      <c r="L28" s="16"/>
      <c r="M28" s="16"/>
      <c r="N28" s="4">
        <v>0</v>
      </c>
      <c r="O28" s="109">
        <v>0</v>
      </c>
      <c r="P28" s="137">
        <f t="shared" si="10"/>
        <v>0</v>
      </c>
      <c r="Q28" s="4">
        <v>0</v>
      </c>
      <c r="R28" s="177" cm="1">
        <f t="array" ref="R28">INDEX(FPLBillHistory_BilledPricePerKW_Range, MATCH(1, (A28&gt;=FPLBillHistory_BillFromDate_Range)*(A28&lt;=FPLBillHistory_BillToDate_Range), 0))</f>
        <v>0.13702267739575713</v>
      </c>
      <c r="S28" s="64">
        <f t="shared" si="28"/>
        <v>0</v>
      </c>
      <c r="T28" s="3">
        <f t="shared" si="29"/>
        <v>0</v>
      </c>
      <c r="U28" s="3">
        <f t="shared" si="30"/>
        <v>0</v>
      </c>
      <c r="V28" s="4">
        <v>0</v>
      </c>
      <c r="W28" s="3">
        <f t="shared" si="14"/>
        <v>0</v>
      </c>
      <c r="X28" s="3">
        <f t="shared" si="31"/>
        <v>0</v>
      </c>
      <c r="Y28" s="7">
        <f t="shared" si="32"/>
        <v>0</v>
      </c>
      <c r="Z28" s="5">
        <f t="shared" si="33"/>
        <v>0</v>
      </c>
      <c r="AA28" s="7">
        <f t="shared" si="34"/>
        <v>0</v>
      </c>
      <c r="AB28" s="3">
        <f t="shared" si="22"/>
        <v>0</v>
      </c>
      <c r="AC28" s="3">
        <f t="shared" si="23"/>
        <v>0</v>
      </c>
      <c r="AD28" s="3">
        <f t="shared" si="24"/>
        <v>0</v>
      </c>
      <c r="AE28" s="3">
        <f t="shared" si="25"/>
        <v>0</v>
      </c>
      <c r="AF28" s="3">
        <f t="shared" si="26"/>
        <v>0</v>
      </c>
      <c r="AG28" s="3">
        <f t="shared" si="27"/>
        <v>0</v>
      </c>
      <c r="AH28" s="112">
        <f>'Gas Chemistry'!$B$11*$W28</f>
        <v>0</v>
      </c>
      <c r="AI28" s="112">
        <f>'Gas Chemistry'!$B$12*$W28</f>
        <v>0</v>
      </c>
      <c r="AJ28" s="112">
        <v>0</v>
      </c>
      <c r="AK28" s="112">
        <f>'Gas Chemistry'!$B$13*$W28</f>
        <v>0</v>
      </c>
      <c r="AL28" s="112">
        <f>'Gas Chemistry'!$B$14*$W28</f>
        <v>0</v>
      </c>
      <c r="AM28" s="112">
        <f>'Gas Chemistry'!$B$15*$W28</f>
        <v>0</v>
      </c>
      <c r="AN28" s="112">
        <f>'Gas Chemistry'!$B$16*$W28</f>
        <v>0</v>
      </c>
      <c r="AO28" s="112">
        <f>'Gas Chemistry'!$B$17*$W28</f>
        <v>0</v>
      </c>
      <c r="AP28" s="14">
        <f>H28*Constants!$C$14</f>
        <v>0</v>
      </c>
      <c r="AQ28" s="114">
        <f>'Gas Chemistry'!$C$122*$AP28</f>
        <v>0</v>
      </c>
      <c r="AR28" s="113">
        <f>'Gas Chemistry'!$C$123*$AP28</f>
        <v>0</v>
      </c>
      <c r="AS28" s="113">
        <f>'Gas Chemistry'!$C$127*$AP28</f>
        <v>0</v>
      </c>
      <c r="AT28" s="114">
        <f>'Gas Chemistry'!$C$124*$AP28</f>
        <v>0</v>
      </c>
      <c r="AU28" s="114">
        <f>'Gas Chemistry'!$C$126*$AP28</f>
        <v>0</v>
      </c>
      <c r="AV28" s="114">
        <f>'Gas Chemistry'!$C$125*$AP28</f>
        <v>0</v>
      </c>
      <c r="AW28" s="114">
        <v>0</v>
      </c>
      <c r="AX28" s="114">
        <v>0</v>
      </c>
    </row>
    <row r="29" spans="1:50" x14ac:dyDescent="0.3">
      <c r="A29" s="178">
        <v>45924</v>
      </c>
      <c r="B29" s="109">
        <v>756</v>
      </c>
      <c r="C29" s="158" cm="1">
        <f t="array" ref="C29">IF(B29=0, 0, B29 - INDEX(B$4:B28, MAX(IF(B$4:B28&lt;&gt;0, ROW(B$4:B28)-ROW(B$4)+1))))</f>
        <v>63</v>
      </c>
      <c r="D29" s="109">
        <v>0</v>
      </c>
      <c r="E29" s="109">
        <v>0</v>
      </c>
      <c r="F29" s="109">
        <v>9</v>
      </c>
      <c r="G29" s="158">
        <f t="shared" si="16"/>
        <v>9</v>
      </c>
      <c r="H29" s="158">
        <f t="shared" si="17"/>
        <v>9</v>
      </c>
      <c r="I29" s="109">
        <v>68</v>
      </c>
      <c r="J29" s="109">
        <v>80</v>
      </c>
      <c r="K29" s="158">
        <f t="shared" si="5"/>
        <v>12</v>
      </c>
      <c r="L29" s="16">
        <v>4.1666666666666664E-2</v>
      </c>
      <c r="M29" s="16">
        <v>0.11458333333333333</v>
      </c>
      <c r="N29" s="4">
        <v>1.75</v>
      </c>
      <c r="O29" s="109">
        <v>282</v>
      </c>
      <c r="P29" s="137">
        <f t="shared" si="10"/>
        <v>7</v>
      </c>
      <c r="Q29" s="4">
        <v>0.39</v>
      </c>
      <c r="R29" s="177" cm="1">
        <f t="array" ref="R29">INDEX(FPLBillHistory_BilledPricePerKW_Range, MATCH(1, (A29&gt;=FPLBillHistory_BillFromDate_Range)*(A29&lt;=FPLBillHistory_BillToDate_Range), 0))</f>
        <v>0.13702267739575713</v>
      </c>
      <c r="S29" s="64">
        <f t="shared" si="28"/>
        <v>0</v>
      </c>
      <c r="T29" s="3">
        <f t="shared" si="29"/>
        <v>1.2332040965618143</v>
      </c>
      <c r="U29" s="3">
        <f t="shared" si="30"/>
        <v>1.2332040965618143</v>
      </c>
      <c r="V29" s="4">
        <v>2.79</v>
      </c>
      <c r="W29" s="3">
        <f t="shared" si="14"/>
        <v>2.52</v>
      </c>
      <c r="X29" s="3">
        <f t="shared" si="31"/>
        <v>7.0308000000000002</v>
      </c>
      <c r="Y29" s="7">
        <f t="shared" si="32"/>
        <v>5.7975959034381859</v>
      </c>
      <c r="Z29" s="5">
        <f t="shared" si="33"/>
        <v>0.82459974731725916</v>
      </c>
      <c r="AA29" s="7">
        <f t="shared" si="34"/>
        <v>2.2767959034381859</v>
      </c>
      <c r="AB29" s="3">
        <f t="shared" si="22"/>
        <v>3.5100000000000002</v>
      </c>
      <c r="AC29" s="3">
        <f t="shared" si="23"/>
        <v>7.0308000000000002</v>
      </c>
      <c r="AD29" s="3">
        <f t="shared" si="24"/>
        <v>1.2332040965618143</v>
      </c>
      <c r="AE29" s="3">
        <f t="shared" si="25"/>
        <v>3.5207999999999999</v>
      </c>
      <c r="AF29" s="3">
        <f t="shared" si="26"/>
        <v>5.7975959034381859</v>
      </c>
      <c r="AG29" s="3">
        <f t="shared" si="27"/>
        <v>2.2767959034381859</v>
      </c>
      <c r="AH29" s="112">
        <f>'Gas Chemistry'!$B$11*$W29</f>
        <v>49.392000000000003</v>
      </c>
      <c r="AI29" s="112">
        <f>'Gas Chemistry'!$B$12*$W29</f>
        <v>20.16</v>
      </c>
      <c r="AJ29" s="112">
        <v>0</v>
      </c>
      <c r="AK29" s="112">
        <f>'Gas Chemistry'!$B$13*$W29</f>
        <v>5.04E-2</v>
      </c>
      <c r="AL29" s="112">
        <f>'Gas Chemistry'!$B$14*$W29</f>
        <v>2.52E-2</v>
      </c>
      <c r="AM29" s="112">
        <f>'Gas Chemistry'!$B$15*$W29</f>
        <v>5.0400000000000002E-3</v>
      </c>
      <c r="AN29" s="112">
        <f>'Gas Chemistry'!$B$16*$W29</f>
        <v>2.5200000000000001E-3</v>
      </c>
      <c r="AO29" s="112">
        <f>'Gas Chemistry'!$B$17*$W29</f>
        <v>1.008E-2</v>
      </c>
      <c r="AP29" s="14">
        <f>H29*Constants!$C$14</f>
        <v>30.707999999999998</v>
      </c>
      <c r="AQ29" s="114">
        <f>'Gas Chemistry'!$C$122*$AP29</f>
        <v>3.5928360000000001</v>
      </c>
      <c r="AR29" s="113">
        <f>'Gas Chemistry'!$C$123*$AP29</f>
        <v>4.4219519999999992</v>
      </c>
      <c r="AS29" s="113">
        <f>'Gas Chemistry'!$C$127*$AP29</f>
        <v>144.32759999999999</v>
      </c>
      <c r="AT29" s="114">
        <f>'Gas Chemistry'!$C$124*$AP29</f>
        <v>2.5794719999999998E-3</v>
      </c>
      <c r="AU29" s="114">
        <f>'Gas Chemistry'!$C$126*$AP29</f>
        <v>3.0707999999999998E-3</v>
      </c>
      <c r="AV29" s="114">
        <f>'Gas Chemistry'!$C$125*$AP29</f>
        <v>1.5354E-4</v>
      </c>
      <c r="AW29" s="114">
        <v>0</v>
      </c>
      <c r="AX29" s="114">
        <v>0</v>
      </c>
    </row>
    <row r="30" spans="1:50" x14ac:dyDescent="0.3">
      <c r="A30" s="178">
        <v>45925</v>
      </c>
      <c r="B30" s="109">
        <v>0</v>
      </c>
      <c r="C30" s="158" cm="1">
        <f t="array" ref="C30">IF(B30=0, 0, B30 - INDEX(B$4:B29, MAX(IF(B$4:B29&lt;&gt;0, ROW(B$4:B29)-ROW(B$4)+1))))</f>
        <v>0</v>
      </c>
      <c r="D30" s="109">
        <v>0</v>
      </c>
      <c r="E30" s="109">
        <v>0</v>
      </c>
      <c r="F30" s="109">
        <v>0</v>
      </c>
      <c r="G30" s="158">
        <f t="shared" si="16"/>
        <v>0</v>
      </c>
      <c r="H30" s="158">
        <f t="shared" si="17"/>
        <v>0</v>
      </c>
      <c r="I30" s="109">
        <v>0</v>
      </c>
      <c r="J30" s="109">
        <v>0</v>
      </c>
      <c r="K30" s="158">
        <f t="shared" si="5"/>
        <v>0</v>
      </c>
      <c r="L30" s="16"/>
      <c r="M30" s="16"/>
      <c r="N30" s="4">
        <v>0</v>
      </c>
      <c r="O30" s="109">
        <v>0</v>
      </c>
      <c r="P30" s="137">
        <f t="shared" si="10"/>
        <v>0</v>
      </c>
      <c r="Q30" s="4">
        <v>0</v>
      </c>
      <c r="R30" s="177" cm="1">
        <f t="array" ref="R30">INDEX(FPLBillHistory_BilledPricePerKW_Range, MATCH(1, (A30&gt;=FPLBillHistory_BillFromDate_Range)*(A30&lt;=FPLBillHistory_BillToDate_Range), 0))</f>
        <v>0.13702267739575713</v>
      </c>
      <c r="S30" s="64">
        <f t="shared" ref="S30:S68" si="35">D30*Q30</f>
        <v>0</v>
      </c>
      <c r="T30" s="3">
        <f t="shared" ref="T30:T68" si="36">G30*R30</f>
        <v>0</v>
      </c>
      <c r="U30" s="3">
        <f t="shared" ref="U30:U68" si="37">SUM(S30:T30)</f>
        <v>0</v>
      </c>
      <c r="V30" s="4">
        <v>0</v>
      </c>
      <c r="W30" s="3">
        <f t="shared" si="14"/>
        <v>0</v>
      </c>
      <c r="X30" s="3">
        <f t="shared" si="31"/>
        <v>0</v>
      </c>
      <c r="Y30" s="7">
        <f t="shared" si="32"/>
        <v>0</v>
      </c>
      <c r="Z30" s="5">
        <f t="shared" si="33"/>
        <v>0</v>
      </c>
      <c r="AA30" s="7">
        <f t="shared" si="34"/>
        <v>0</v>
      </c>
      <c r="AB30" s="3">
        <f t="shared" si="22"/>
        <v>0</v>
      </c>
      <c r="AC30" s="3">
        <f t="shared" si="23"/>
        <v>0</v>
      </c>
      <c r="AD30" s="3">
        <f t="shared" si="24"/>
        <v>0</v>
      </c>
      <c r="AE30" s="3">
        <f t="shared" si="25"/>
        <v>0</v>
      </c>
      <c r="AF30" s="3">
        <f t="shared" si="26"/>
        <v>0</v>
      </c>
      <c r="AG30" s="3">
        <f t="shared" si="27"/>
        <v>0</v>
      </c>
      <c r="AH30" s="112">
        <f>'Gas Chemistry'!$B$11*$W30</f>
        <v>0</v>
      </c>
      <c r="AI30" s="112">
        <f>'Gas Chemistry'!$B$12*$W30</f>
        <v>0</v>
      </c>
      <c r="AJ30" s="112">
        <v>0</v>
      </c>
      <c r="AK30" s="112">
        <f>'Gas Chemistry'!$B$13*$W30</f>
        <v>0</v>
      </c>
      <c r="AL30" s="112">
        <f>'Gas Chemistry'!$B$14*$W30</f>
        <v>0</v>
      </c>
      <c r="AM30" s="112">
        <f>'Gas Chemistry'!$B$15*$W30</f>
        <v>0</v>
      </c>
      <c r="AN30" s="112">
        <f>'Gas Chemistry'!$B$16*$W30</f>
        <v>0</v>
      </c>
      <c r="AO30" s="112">
        <f>'Gas Chemistry'!$B$17*$W30</f>
        <v>0</v>
      </c>
      <c r="AP30" s="14">
        <f>H30*Constants!$C$14</f>
        <v>0</v>
      </c>
      <c r="AQ30" s="114">
        <f>'Gas Chemistry'!$C$122*$AP30</f>
        <v>0</v>
      </c>
      <c r="AR30" s="113">
        <f>'Gas Chemistry'!$C$123*$AP30</f>
        <v>0</v>
      </c>
      <c r="AS30" s="113">
        <f>'Gas Chemistry'!$C$127*$AP30</f>
        <v>0</v>
      </c>
      <c r="AT30" s="114">
        <f>'Gas Chemistry'!$C$124*$AP30</f>
        <v>0</v>
      </c>
      <c r="AU30" s="114">
        <f>'Gas Chemistry'!$C$126*$AP30</f>
        <v>0</v>
      </c>
      <c r="AV30" s="114">
        <f>'Gas Chemistry'!$C$125*$AP30</f>
        <v>0</v>
      </c>
      <c r="AW30" s="114">
        <v>0</v>
      </c>
      <c r="AX30" s="114">
        <v>0</v>
      </c>
    </row>
    <row r="31" spans="1:50" x14ac:dyDescent="0.3">
      <c r="A31" s="178">
        <v>45926</v>
      </c>
      <c r="B31" s="109">
        <v>876</v>
      </c>
      <c r="C31" s="158" cm="1">
        <f t="array" ref="C31">IF(B31=0, 0, B31 - INDEX(B$4:B30, MAX(IF(B$4:B30&lt;&gt;0, ROW(B$4:B30)-ROW(B$4)+1))))</f>
        <v>120</v>
      </c>
      <c r="D31" s="109">
        <v>0</v>
      </c>
      <c r="E31" s="109">
        <v>0</v>
      </c>
      <c r="F31" s="109">
        <v>32</v>
      </c>
      <c r="G31" s="158">
        <f t="shared" si="16"/>
        <v>32</v>
      </c>
      <c r="H31" s="158">
        <f t="shared" si="17"/>
        <v>32</v>
      </c>
      <c r="I31" s="109">
        <v>44</v>
      </c>
      <c r="J31" s="109">
        <v>80</v>
      </c>
      <c r="K31" s="158">
        <f t="shared" si="5"/>
        <v>36</v>
      </c>
      <c r="L31" s="16">
        <v>0.8125</v>
      </c>
      <c r="M31" s="16">
        <v>3.3333333333333333E-2</v>
      </c>
      <c r="N31" s="4">
        <v>5.8</v>
      </c>
      <c r="O31" s="109">
        <v>282</v>
      </c>
      <c r="P31" s="137">
        <f t="shared" si="10"/>
        <v>3.75</v>
      </c>
      <c r="Q31" s="4">
        <v>0.39</v>
      </c>
      <c r="R31" s="177" cm="1">
        <f t="array" ref="R31">INDEX(FPLBillHistory_BilledPricePerKW_Range, MATCH(1, (A31&gt;=FPLBillHistory_BillFromDate_Range)*(A31&lt;=FPLBillHistory_BillToDate_Range), 0))</f>
        <v>0.13702267739575713</v>
      </c>
      <c r="S31" s="64">
        <f t="shared" si="35"/>
        <v>0</v>
      </c>
      <c r="T31" s="3">
        <f t="shared" si="36"/>
        <v>4.3847256766642282</v>
      </c>
      <c r="U31" s="3">
        <f t="shared" si="37"/>
        <v>4.3847256766642282</v>
      </c>
      <c r="V31" s="4">
        <v>2.79</v>
      </c>
      <c r="W31" s="3">
        <f t="shared" si="14"/>
        <v>4.8</v>
      </c>
      <c r="X31" s="3">
        <f t="shared" si="31"/>
        <v>13.391999999999999</v>
      </c>
      <c r="Y31" s="7">
        <f t="shared" si="32"/>
        <v>9.0072743233357713</v>
      </c>
      <c r="Z31" s="5">
        <f t="shared" si="33"/>
        <v>0.67258619499221717</v>
      </c>
      <c r="AA31" s="7">
        <f t="shared" si="34"/>
        <v>8.0952743233357722</v>
      </c>
      <c r="AB31" s="3">
        <f t="shared" si="22"/>
        <v>12.48</v>
      </c>
      <c r="AC31" s="3">
        <f t="shared" si="23"/>
        <v>13.391999999999999</v>
      </c>
      <c r="AD31" s="3">
        <f t="shared" si="24"/>
        <v>4.3847256766642282</v>
      </c>
      <c r="AE31" s="3">
        <f t="shared" si="25"/>
        <v>0.91199999999999903</v>
      </c>
      <c r="AF31" s="3">
        <f t="shared" si="26"/>
        <v>9.0072743233357713</v>
      </c>
      <c r="AG31" s="3">
        <f t="shared" si="27"/>
        <v>8.0952743233357722</v>
      </c>
      <c r="AH31" s="112">
        <f>'Gas Chemistry'!$B$11*$W31</f>
        <v>94.08</v>
      </c>
      <c r="AI31" s="112">
        <f>'Gas Chemistry'!$B$12*$W31</f>
        <v>38.4</v>
      </c>
      <c r="AJ31" s="112">
        <v>0</v>
      </c>
      <c r="AK31" s="112">
        <f>'Gas Chemistry'!$B$13*$W31</f>
        <v>9.6000000000000002E-2</v>
      </c>
      <c r="AL31" s="112">
        <f>'Gas Chemistry'!$B$14*$W31</f>
        <v>4.8000000000000001E-2</v>
      </c>
      <c r="AM31" s="112">
        <f>'Gas Chemistry'!$B$15*$W31</f>
        <v>9.5999999999999992E-3</v>
      </c>
      <c r="AN31" s="112">
        <f>'Gas Chemistry'!$B$16*$W31</f>
        <v>4.7999999999999996E-3</v>
      </c>
      <c r="AO31" s="112">
        <f>'Gas Chemistry'!$B$17*$W31</f>
        <v>1.9199999999999998E-2</v>
      </c>
      <c r="AP31" s="14">
        <f>H31*Constants!$C$14</f>
        <v>109.184</v>
      </c>
      <c r="AQ31" s="114">
        <f>'Gas Chemistry'!$C$122*$AP31</f>
        <v>12.774528</v>
      </c>
      <c r="AR31" s="113">
        <f>'Gas Chemistry'!$C$123*$AP31</f>
        <v>15.722495999999998</v>
      </c>
      <c r="AS31" s="113">
        <f>'Gas Chemistry'!$C$127*$AP31</f>
        <v>513.16480000000001</v>
      </c>
      <c r="AT31" s="114">
        <f>'Gas Chemistry'!$C$124*$AP31</f>
        <v>9.1714559999999997E-3</v>
      </c>
      <c r="AU31" s="114">
        <f>'Gas Chemistry'!$C$126*$AP31</f>
        <v>1.09184E-2</v>
      </c>
      <c r="AV31" s="114">
        <f>'Gas Chemistry'!$C$125*$AP31</f>
        <v>5.4592000000000009E-4</v>
      </c>
      <c r="AW31" s="114">
        <v>0</v>
      </c>
      <c r="AX31" s="114">
        <v>0</v>
      </c>
    </row>
    <row r="32" spans="1:50" x14ac:dyDescent="0.3">
      <c r="A32" s="178">
        <v>45927</v>
      </c>
      <c r="B32" s="109">
        <v>0</v>
      </c>
      <c r="C32" s="158" cm="1">
        <f t="array" ref="C32">IF(B32=0, 0, B32 - INDEX(B$4:B31, MAX(IF(B$4:B31&lt;&gt;0, ROW(B$4:B31)-ROW(B$4)+1))))</f>
        <v>0</v>
      </c>
      <c r="D32" s="109">
        <v>0</v>
      </c>
      <c r="E32" s="109">
        <v>0</v>
      </c>
      <c r="F32" s="109">
        <v>0</v>
      </c>
      <c r="G32" s="158">
        <f t="shared" si="16"/>
        <v>0</v>
      </c>
      <c r="H32" s="158">
        <f t="shared" si="17"/>
        <v>0</v>
      </c>
      <c r="I32" s="109">
        <v>0</v>
      </c>
      <c r="J32" s="109">
        <v>0</v>
      </c>
      <c r="K32" s="158">
        <f t="shared" si="5"/>
        <v>0</v>
      </c>
      <c r="L32" s="16"/>
      <c r="M32" s="16"/>
      <c r="N32" s="4">
        <v>0</v>
      </c>
      <c r="O32" s="109">
        <v>0</v>
      </c>
      <c r="P32" s="137">
        <f t="shared" si="10"/>
        <v>0</v>
      </c>
      <c r="Q32" s="4">
        <v>0</v>
      </c>
      <c r="R32" s="177" cm="1">
        <f t="array" ref="R32">INDEX(FPLBillHistory_BilledPricePerKW_Range, MATCH(1, (A32&gt;=FPLBillHistory_BillFromDate_Range)*(A32&lt;=FPLBillHistory_BillToDate_Range), 0))</f>
        <v>0.13702267739575713</v>
      </c>
      <c r="S32" s="64">
        <f t="shared" si="35"/>
        <v>0</v>
      </c>
      <c r="T32" s="3">
        <f t="shared" si="36"/>
        <v>0</v>
      </c>
      <c r="U32" s="3">
        <f t="shared" si="37"/>
        <v>0</v>
      </c>
      <c r="V32" s="4">
        <v>0</v>
      </c>
      <c r="W32" s="3">
        <f t="shared" si="14"/>
        <v>0</v>
      </c>
      <c r="X32" s="3">
        <f t="shared" si="31"/>
        <v>0</v>
      </c>
      <c r="Y32" s="7">
        <f t="shared" si="32"/>
        <v>0</v>
      </c>
      <c r="Z32" s="5">
        <f t="shared" si="33"/>
        <v>0</v>
      </c>
      <c r="AA32" s="7">
        <f t="shared" si="34"/>
        <v>0</v>
      </c>
      <c r="AB32" s="3">
        <f t="shared" si="22"/>
        <v>0</v>
      </c>
      <c r="AC32" s="3">
        <f t="shared" si="23"/>
        <v>0</v>
      </c>
      <c r="AD32" s="3">
        <f t="shared" si="24"/>
        <v>0</v>
      </c>
      <c r="AE32" s="3">
        <f t="shared" si="25"/>
        <v>0</v>
      </c>
      <c r="AF32" s="3">
        <f t="shared" si="26"/>
        <v>0</v>
      </c>
      <c r="AG32" s="3">
        <f t="shared" si="27"/>
        <v>0</v>
      </c>
      <c r="AH32" s="112">
        <f>'Gas Chemistry'!$B$11*$W32</f>
        <v>0</v>
      </c>
      <c r="AI32" s="112">
        <f>'Gas Chemistry'!$B$12*$W32</f>
        <v>0</v>
      </c>
      <c r="AJ32" s="112">
        <v>0</v>
      </c>
      <c r="AK32" s="112">
        <f>'Gas Chemistry'!$B$13*$W32</f>
        <v>0</v>
      </c>
      <c r="AL32" s="112">
        <f>'Gas Chemistry'!$B$14*$W32</f>
        <v>0</v>
      </c>
      <c r="AM32" s="112">
        <f>'Gas Chemistry'!$B$15*$W32</f>
        <v>0</v>
      </c>
      <c r="AN32" s="112">
        <f>'Gas Chemistry'!$B$16*$W32</f>
        <v>0</v>
      </c>
      <c r="AO32" s="112">
        <f>'Gas Chemistry'!$B$17*$W32</f>
        <v>0</v>
      </c>
      <c r="AP32" s="14">
        <f>H32*Constants!$C$14</f>
        <v>0</v>
      </c>
      <c r="AQ32" s="114">
        <f>'Gas Chemistry'!$C$122*$AP32</f>
        <v>0</v>
      </c>
      <c r="AR32" s="113">
        <f>'Gas Chemistry'!$C$123*$AP32</f>
        <v>0</v>
      </c>
      <c r="AS32" s="113">
        <f>'Gas Chemistry'!$C$127*$AP32</f>
        <v>0</v>
      </c>
      <c r="AT32" s="114">
        <f>'Gas Chemistry'!$C$124*$AP32</f>
        <v>0</v>
      </c>
      <c r="AU32" s="114">
        <f>'Gas Chemistry'!$C$126*$AP32</f>
        <v>0</v>
      </c>
      <c r="AV32" s="114">
        <f>'Gas Chemistry'!$C$125*$AP32</f>
        <v>0</v>
      </c>
      <c r="AW32" s="114">
        <v>0</v>
      </c>
      <c r="AX32" s="114">
        <v>0</v>
      </c>
    </row>
    <row r="33" spans="1:50" x14ac:dyDescent="0.3">
      <c r="A33" s="178">
        <v>45928</v>
      </c>
      <c r="B33" s="109">
        <v>883</v>
      </c>
      <c r="C33" s="158" cm="1">
        <f t="array" ref="C33">IF(B33=0, 0, B33 - INDEX(B$4:B32, MAX(IF(B$4:B32&lt;&gt;0, ROW(B$4:B32)-ROW(B$4)+1))))</f>
        <v>7</v>
      </c>
      <c r="D33" s="109">
        <v>0</v>
      </c>
      <c r="E33" s="109">
        <v>0</v>
      </c>
      <c r="F33" s="109">
        <v>8</v>
      </c>
      <c r="G33" s="158">
        <f t="shared" si="16"/>
        <v>8</v>
      </c>
      <c r="H33" s="158">
        <f t="shared" si="17"/>
        <v>8</v>
      </c>
      <c r="I33" s="109">
        <v>75</v>
      </c>
      <c r="J33" s="109">
        <v>80</v>
      </c>
      <c r="K33" s="158">
        <f t="shared" si="5"/>
        <v>5</v>
      </c>
      <c r="L33" s="16">
        <v>4.1666666666666664E-2</v>
      </c>
      <c r="M33" s="16">
        <v>7.4305555555555555E-2</v>
      </c>
      <c r="N33" s="4">
        <v>0.75</v>
      </c>
      <c r="O33" s="109">
        <v>282</v>
      </c>
      <c r="P33" s="137">
        <f t="shared" si="10"/>
        <v>0.875</v>
      </c>
      <c r="Q33" s="4">
        <v>0.39</v>
      </c>
      <c r="R33" s="177" cm="1">
        <f t="array" ref="R33">INDEX(FPLBillHistory_BilledPricePerKW_Range, MATCH(1, (A33&gt;=FPLBillHistory_BillFromDate_Range)*(A33&lt;=FPLBillHistory_BillToDate_Range), 0))</f>
        <v>0.13702267739575713</v>
      </c>
      <c r="S33" s="64">
        <f t="shared" si="35"/>
        <v>0</v>
      </c>
      <c r="T33" s="3">
        <f t="shared" si="36"/>
        <v>1.096181419166057</v>
      </c>
      <c r="U33" s="3">
        <f t="shared" si="37"/>
        <v>1.096181419166057</v>
      </c>
      <c r="V33" s="4">
        <v>2.79</v>
      </c>
      <c r="W33" s="3">
        <f t="shared" si="14"/>
        <v>0.28000000000000003</v>
      </c>
      <c r="X33" s="3">
        <f t="shared" si="31"/>
        <v>0.78120000000000012</v>
      </c>
      <c r="Y33" s="7">
        <f t="shared" si="32"/>
        <v>-0.31498141916605693</v>
      </c>
      <c r="Z33" s="5">
        <f t="shared" si="33"/>
        <v>-0.40320202146192635</v>
      </c>
      <c r="AA33" s="7">
        <f t="shared" si="34"/>
        <v>2.0238185808339431</v>
      </c>
      <c r="AB33" s="3">
        <f t="shared" si="22"/>
        <v>3.12</v>
      </c>
      <c r="AC33" s="3">
        <f t="shared" si="23"/>
        <v>0.78120000000000012</v>
      </c>
      <c r="AD33" s="3">
        <f t="shared" si="24"/>
        <v>1.096181419166057</v>
      </c>
      <c r="AE33" s="3">
        <f t="shared" si="25"/>
        <v>-2.3388</v>
      </c>
      <c r="AF33" s="3">
        <f t="shared" si="26"/>
        <v>-0.31498141916605693</v>
      </c>
      <c r="AG33" s="3">
        <f t="shared" si="27"/>
        <v>2.0238185808339431</v>
      </c>
      <c r="AH33" s="112">
        <f>'Gas Chemistry'!$B$11*$W33</f>
        <v>5.4880000000000013</v>
      </c>
      <c r="AI33" s="112">
        <f>'Gas Chemistry'!$B$12*$W33</f>
        <v>2.2400000000000002</v>
      </c>
      <c r="AJ33" s="112">
        <v>0</v>
      </c>
      <c r="AK33" s="112">
        <f>'Gas Chemistry'!$B$13*$W33</f>
        <v>5.6000000000000008E-3</v>
      </c>
      <c r="AL33" s="112">
        <f>'Gas Chemistry'!$B$14*$W33</f>
        <v>2.8000000000000004E-3</v>
      </c>
      <c r="AM33" s="112">
        <f>'Gas Chemistry'!$B$15*$W33</f>
        <v>5.6000000000000006E-4</v>
      </c>
      <c r="AN33" s="112">
        <f>'Gas Chemistry'!$B$16*$W33</f>
        <v>2.8000000000000003E-4</v>
      </c>
      <c r="AO33" s="112">
        <f>'Gas Chemistry'!$B$17*$W33</f>
        <v>1.1200000000000001E-3</v>
      </c>
      <c r="AP33" s="14">
        <f>H33*Constants!$C$14</f>
        <v>27.295999999999999</v>
      </c>
      <c r="AQ33" s="114">
        <f>'Gas Chemistry'!$C$122*$AP33</f>
        <v>3.193632</v>
      </c>
      <c r="AR33" s="113">
        <f>'Gas Chemistry'!$C$123*$AP33</f>
        <v>3.9306239999999995</v>
      </c>
      <c r="AS33" s="113">
        <f>'Gas Chemistry'!$C$127*$AP33</f>
        <v>128.2912</v>
      </c>
      <c r="AT33" s="114">
        <f>'Gas Chemistry'!$C$124*$AP33</f>
        <v>2.2928639999999999E-3</v>
      </c>
      <c r="AU33" s="114">
        <f>'Gas Chemistry'!$C$126*$AP33</f>
        <v>2.7296E-3</v>
      </c>
      <c r="AV33" s="114">
        <f>'Gas Chemistry'!$C$125*$AP33</f>
        <v>1.3648000000000002E-4</v>
      </c>
      <c r="AW33" s="114">
        <v>0</v>
      </c>
      <c r="AX33" s="114">
        <v>0</v>
      </c>
    </row>
    <row r="34" spans="1:50" x14ac:dyDescent="0.3">
      <c r="A34" s="178">
        <v>45929</v>
      </c>
      <c r="B34" s="109">
        <v>966</v>
      </c>
      <c r="C34" s="158" cm="1">
        <f t="array" ref="C34">IF(B34=0, 0, B34 - INDEX(B$4:B33, MAX(IF(B$4:B33&lt;&gt;0, ROW(B$4:B33)-ROW(B$4)+1))))</f>
        <v>83</v>
      </c>
      <c r="D34" s="109">
        <v>0</v>
      </c>
      <c r="E34" s="109">
        <v>0</v>
      </c>
      <c r="F34" s="109">
        <v>23</v>
      </c>
      <c r="G34" s="158">
        <f t="shared" si="16"/>
        <v>23</v>
      </c>
      <c r="H34" s="158">
        <f t="shared" si="17"/>
        <v>23</v>
      </c>
      <c r="I34" s="109">
        <v>50</v>
      </c>
      <c r="J34" s="109">
        <v>80</v>
      </c>
      <c r="K34" s="158">
        <f t="shared" si="5"/>
        <v>30</v>
      </c>
      <c r="L34" s="16">
        <v>4.1666666666666664E-2</v>
      </c>
      <c r="M34" s="16">
        <v>0.22291666666666668</v>
      </c>
      <c r="N34" s="4">
        <v>4.3</v>
      </c>
      <c r="O34" s="109">
        <v>282</v>
      </c>
      <c r="P34" s="137">
        <f t="shared" si="10"/>
        <v>3.6086956521739131</v>
      </c>
      <c r="Q34" s="4">
        <v>0.39</v>
      </c>
      <c r="R34" s="177" cm="1">
        <f t="array" ref="R34">INDEX(FPLBillHistory_BilledPricePerKW_Range, MATCH(1, (A34&gt;=FPLBillHistory_BillFromDate_Range)*(A34&lt;=FPLBillHistory_BillToDate_Range), 0))</f>
        <v>0.13702267739575713</v>
      </c>
      <c r="S34" s="64">
        <f t="shared" si="35"/>
        <v>0</v>
      </c>
      <c r="T34" s="3">
        <f t="shared" si="36"/>
        <v>3.1515215801024139</v>
      </c>
      <c r="U34" s="3">
        <f t="shared" si="37"/>
        <v>3.1515215801024139</v>
      </c>
      <c r="V34" s="4">
        <v>2.79</v>
      </c>
      <c r="W34" s="3">
        <f t="shared" si="14"/>
        <v>3.32</v>
      </c>
      <c r="X34" s="3">
        <f t="shared" si="31"/>
        <v>9.2628000000000004</v>
      </c>
      <c r="Y34" s="7">
        <f t="shared" si="32"/>
        <v>6.1112784198975865</v>
      </c>
      <c r="Z34" s="5">
        <f t="shared" si="33"/>
        <v>0.65976577491661115</v>
      </c>
      <c r="AA34" s="7">
        <f t="shared" si="34"/>
        <v>5.8184784198975867</v>
      </c>
      <c r="AB34" s="3">
        <f t="shared" si="22"/>
        <v>8.9700000000000006</v>
      </c>
      <c r="AC34" s="3">
        <f t="shared" si="23"/>
        <v>9.2628000000000004</v>
      </c>
      <c r="AD34" s="3">
        <f t="shared" si="24"/>
        <v>3.1515215801024139</v>
      </c>
      <c r="AE34" s="3">
        <f t="shared" si="25"/>
        <v>0.29279999999999973</v>
      </c>
      <c r="AF34" s="3">
        <f t="shared" si="26"/>
        <v>6.1112784198975865</v>
      </c>
      <c r="AG34" s="3">
        <f t="shared" si="27"/>
        <v>5.8184784198975867</v>
      </c>
      <c r="AH34" s="112">
        <f>'Gas Chemistry'!$B$11*$W34</f>
        <v>65.072000000000003</v>
      </c>
      <c r="AI34" s="112">
        <f>'Gas Chemistry'!$B$12*$W34</f>
        <v>26.56</v>
      </c>
      <c r="AJ34" s="112">
        <v>0</v>
      </c>
      <c r="AK34" s="112">
        <f>'Gas Chemistry'!$B$13*$W34</f>
        <v>6.6400000000000001E-2</v>
      </c>
      <c r="AL34" s="112">
        <f>'Gas Chemistry'!$B$14*$W34</f>
        <v>3.32E-2</v>
      </c>
      <c r="AM34" s="112">
        <f>'Gas Chemistry'!$B$15*$W34</f>
        <v>6.6400000000000001E-3</v>
      </c>
      <c r="AN34" s="112">
        <f>'Gas Chemistry'!$B$16*$W34</f>
        <v>3.32E-3</v>
      </c>
      <c r="AO34" s="112">
        <f>'Gas Chemistry'!$B$17*$W34</f>
        <v>1.328E-2</v>
      </c>
      <c r="AP34" s="14">
        <f>H34*Constants!$C$14</f>
        <v>78.475999999999999</v>
      </c>
      <c r="AQ34" s="114">
        <f>'Gas Chemistry'!$C$122*$AP34</f>
        <v>9.181692</v>
      </c>
      <c r="AR34" s="113">
        <f>'Gas Chemistry'!$C$123*$AP34</f>
        <v>11.300543999999999</v>
      </c>
      <c r="AS34" s="113">
        <f>'Gas Chemistry'!$C$127*$AP34</f>
        <v>368.8372</v>
      </c>
      <c r="AT34" s="114">
        <f>'Gas Chemistry'!$C$124*$AP34</f>
        <v>6.5919839999999995E-3</v>
      </c>
      <c r="AU34" s="114">
        <f>'Gas Chemistry'!$C$126*$AP34</f>
        <v>7.8475999999999997E-3</v>
      </c>
      <c r="AV34" s="114">
        <f>'Gas Chemistry'!$C$125*$AP34</f>
        <v>3.9238000000000001E-4</v>
      </c>
      <c r="AW34" s="114">
        <v>0</v>
      </c>
      <c r="AX34" s="114">
        <v>0</v>
      </c>
    </row>
    <row r="35" spans="1:50" x14ac:dyDescent="0.3">
      <c r="A35" s="178">
        <v>45930</v>
      </c>
      <c r="B35" s="109">
        <v>0</v>
      </c>
      <c r="C35" s="158" cm="1">
        <f t="array" ref="C35">IF(B35=0, 0, B35 - INDEX(B$4:B34, MAX(IF(B$4:B34&lt;&gt;0, ROW(B$4:B34)-ROW(B$4)+1))))</f>
        <v>0</v>
      </c>
      <c r="D35" s="109">
        <v>0</v>
      </c>
      <c r="E35" s="109">
        <v>0</v>
      </c>
      <c r="F35" s="109">
        <v>0</v>
      </c>
      <c r="G35" s="158">
        <f t="shared" si="16"/>
        <v>0</v>
      </c>
      <c r="H35" s="158">
        <f t="shared" si="17"/>
        <v>0</v>
      </c>
      <c r="I35" s="109">
        <v>0</v>
      </c>
      <c r="J35" s="109">
        <v>0</v>
      </c>
      <c r="K35" s="158">
        <f t="shared" si="5"/>
        <v>0</v>
      </c>
      <c r="L35" s="16"/>
      <c r="M35" s="16"/>
      <c r="N35" s="4">
        <v>0</v>
      </c>
      <c r="O35" s="109">
        <v>0</v>
      </c>
      <c r="P35" s="137">
        <f t="shared" si="10"/>
        <v>0</v>
      </c>
      <c r="Q35" s="4">
        <v>0</v>
      </c>
      <c r="R35" s="177" cm="1">
        <f t="array" ref="R35">INDEX(FPLBillHistory_BilledPricePerKW_Range, MATCH(1, (A35&gt;=FPLBillHistory_BillFromDate_Range)*(A35&lt;=FPLBillHistory_BillToDate_Range), 0))</f>
        <v>0.13702267739575713</v>
      </c>
      <c r="S35" s="64">
        <f t="shared" si="35"/>
        <v>0</v>
      </c>
      <c r="T35" s="3">
        <f t="shared" si="36"/>
        <v>0</v>
      </c>
      <c r="U35" s="3">
        <f t="shared" si="37"/>
        <v>0</v>
      </c>
      <c r="V35" s="4">
        <v>0</v>
      </c>
      <c r="W35" s="3">
        <f t="shared" si="14"/>
        <v>0</v>
      </c>
      <c r="X35" s="3">
        <f t="shared" si="31"/>
        <v>0</v>
      </c>
      <c r="Y35" s="7">
        <f t="shared" si="32"/>
        <v>0</v>
      </c>
      <c r="Z35" s="5">
        <f t="shared" si="33"/>
        <v>0</v>
      </c>
      <c r="AA35" s="7">
        <f t="shared" si="34"/>
        <v>0</v>
      </c>
      <c r="AB35" s="3">
        <f t="shared" si="22"/>
        <v>0</v>
      </c>
      <c r="AC35" s="3">
        <f t="shared" si="23"/>
        <v>0</v>
      </c>
      <c r="AD35" s="3">
        <f t="shared" si="24"/>
        <v>0</v>
      </c>
      <c r="AE35" s="3">
        <f t="shared" si="25"/>
        <v>0</v>
      </c>
      <c r="AF35" s="3">
        <f t="shared" si="26"/>
        <v>0</v>
      </c>
      <c r="AG35" s="3">
        <f t="shared" si="27"/>
        <v>0</v>
      </c>
      <c r="AH35" s="112">
        <f>'Gas Chemistry'!$B$11*$W35</f>
        <v>0</v>
      </c>
      <c r="AI35" s="112">
        <f>'Gas Chemistry'!$B$12*$W35</f>
        <v>0</v>
      </c>
      <c r="AJ35" s="112">
        <v>0</v>
      </c>
      <c r="AK35" s="112">
        <f>'Gas Chemistry'!$B$13*$W35</f>
        <v>0</v>
      </c>
      <c r="AL35" s="112">
        <f>'Gas Chemistry'!$B$14*$W35</f>
        <v>0</v>
      </c>
      <c r="AM35" s="112">
        <f>'Gas Chemistry'!$B$15*$W35</f>
        <v>0</v>
      </c>
      <c r="AN35" s="112">
        <f>'Gas Chemistry'!$B$16*$W35</f>
        <v>0</v>
      </c>
      <c r="AO35" s="112">
        <f>'Gas Chemistry'!$B$17*$W35</f>
        <v>0</v>
      </c>
      <c r="AP35" s="14">
        <f>H35*Constants!$C$14</f>
        <v>0</v>
      </c>
      <c r="AQ35" s="114">
        <f>'Gas Chemistry'!$C$122*$AP35</f>
        <v>0</v>
      </c>
      <c r="AR35" s="113">
        <f>'Gas Chemistry'!$C$123*$AP35</f>
        <v>0</v>
      </c>
      <c r="AS35" s="113">
        <f>'Gas Chemistry'!$C$127*$AP35</f>
        <v>0</v>
      </c>
      <c r="AT35" s="114">
        <f>'Gas Chemistry'!$C$124*$AP35</f>
        <v>0</v>
      </c>
      <c r="AU35" s="114">
        <f>'Gas Chemistry'!$C$126*$AP35</f>
        <v>0</v>
      </c>
      <c r="AV35" s="114">
        <f>'Gas Chemistry'!$C$125*$AP35</f>
        <v>0</v>
      </c>
      <c r="AW35" s="114">
        <v>0</v>
      </c>
      <c r="AX35" s="114">
        <v>0</v>
      </c>
    </row>
    <row r="36" spans="1:50" x14ac:dyDescent="0.3">
      <c r="A36" s="178">
        <v>45931</v>
      </c>
      <c r="B36" s="109">
        <v>0</v>
      </c>
      <c r="C36" s="158" cm="1">
        <f t="array" ref="C36">IF(B36=0, 0, B36 - INDEX(B$4:B35, MAX(IF(B$4:B35&lt;&gt;0, ROW(B$4:B35)-ROW(B$4)+1))))</f>
        <v>0</v>
      </c>
      <c r="D36" s="109">
        <v>0</v>
      </c>
      <c r="E36" s="109">
        <v>0</v>
      </c>
      <c r="F36" s="109">
        <v>0</v>
      </c>
      <c r="G36" s="158">
        <f t="shared" si="16"/>
        <v>0</v>
      </c>
      <c r="H36" s="158">
        <f t="shared" si="17"/>
        <v>0</v>
      </c>
      <c r="I36" s="109">
        <v>0</v>
      </c>
      <c r="J36" s="109">
        <v>0</v>
      </c>
      <c r="K36" s="158">
        <f t="shared" si="5"/>
        <v>0</v>
      </c>
      <c r="L36" s="16"/>
      <c r="M36" s="16"/>
      <c r="N36" s="4">
        <v>0</v>
      </c>
      <c r="O36" s="109">
        <v>0</v>
      </c>
      <c r="P36" s="137">
        <f t="shared" si="10"/>
        <v>0</v>
      </c>
      <c r="Q36" s="4">
        <v>0</v>
      </c>
      <c r="R36" s="177" cm="1">
        <f t="array" ref="R36">INDEX(FPLBillHistory_BilledPricePerKW_Range, MATCH(1, (A36&gt;=FPLBillHistory_BillFromDate_Range)*(A36&lt;=FPLBillHistory_BillToDate_Range), 0))</f>
        <v>0.13702267739575713</v>
      </c>
      <c r="S36" s="64">
        <f t="shared" si="35"/>
        <v>0</v>
      </c>
      <c r="T36" s="3">
        <f t="shared" si="36"/>
        <v>0</v>
      </c>
      <c r="U36" s="3">
        <f t="shared" si="37"/>
        <v>0</v>
      </c>
      <c r="V36" s="4">
        <v>0</v>
      </c>
      <c r="W36" s="3">
        <f t="shared" si="14"/>
        <v>0</v>
      </c>
      <c r="X36" s="3">
        <f t="shared" si="31"/>
        <v>0</v>
      </c>
      <c r="Y36" s="7">
        <f t="shared" si="32"/>
        <v>0</v>
      </c>
      <c r="Z36" s="5">
        <f t="shared" si="33"/>
        <v>0</v>
      </c>
      <c r="AA36" s="7">
        <f t="shared" si="34"/>
        <v>0</v>
      </c>
      <c r="AB36" s="3">
        <f t="shared" si="22"/>
        <v>0</v>
      </c>
      <c r="AC36" s="3">
        <f t="shared" si="23"/>
        <v>0</v>
      </c>
      <c r="AD36" s="3">
        <f t="shared" si="24"/>
        <v>0</v>
      </c>
      <c r="AE36" s="3">
        <f t="shared" si="25"/>
        <v>0</v>
      </c>
      <c r="AF36" s="3">
        <f t="shared" si="26"/>
        <v>0</v>
      </c>
      <c r="AG36" s="3">
        <f t="shared" si="27"/>
        <v>0</v>
      </c>
      <c r="AH36" s="112">
        <f>'Gas Chemistry'!$B$11*$W36</f>
        <v>0</v>
      </c>
      <c r="AI36" s="112">
        <f>'Gas Chemistry'!$B$12*$W36</f>
        <v>0</v>
      </c>
      <c r="AJ36" s="112">
        <v>0</v>
      </c>
      <c r="AK36" s="112">
        <f>'Gas Chemistry'!$B$13*$W36</f>
        <v>0</v>
      </c>
      <c r="AL36" s="112">
        <f>'Gas Chemistry'!$B$14*$W36</f>
        <v>0</v>
      </c>
      <c r="AM36" s="112">
        <f>'Gas Chemistry'!$B$15*$W36</f>
        <v>0</v>
      </c>
      <c r="AN36" s="112">
        <f>'Gas Chemistry'!$B$16*$W36</f>
        <v>0</v>
      </c>
      <c r="AO36" s="112">
        <f>'Gas Chemistry'!$B$17*$W36</f>
        <v>0</v>
      </c>
      <c r="AP36" s="14">
        <f>H36*Constants!$C$14</f>
        <v>0</v>
      </c>
      <c r="AQ36" s="114">
        <f>'Gas Chemistry'!$C$122*$AP36</f>
        <v>0</v>
      </c>
      <c r="AR36" s="113">
        <f>'Gas Chemistry'!$C$123*$AP36</f>
        <v>0</v>
      </c>
      <c r="AS36" s="113">
        <f>'Gas Chemistry'!$C$127*$AP36</f>
        <v>0</v>
      </c>
      <c r="AT36" s="114">
        <f>'Gas Chemistry'!$C$124*$AP36</f>
        <v>0</v>
      </c>
      <c r="AU36" s="114">
        <f>'Gas Chemistry'!$C$126*$AP36</f>
        <v>0</v>
      </c>
      <c r="AV36" s="114">
        <f>'Gas Chemistry'!$C$125*$AP36</f>
        <v>0</v>
      </c>
      <c r="AW36" s="114">
        <v>0</v>
      </c>
      <c r="AX36" s="114">
        <v>0</v>
      </c>
    </row>
    <row r="37" spans="1:50" x14ac:dyDescent="0.3">
      <c r="A37" s="178">
        <v>45932</v>
      </c>
      <c r="B37" s="109">
        <v>0</v>
      </c>
      <c r="C37" s="158" cm="1">
        <f t="array" ref="C37">IF(B37=0, 0, B37 - INDEX(B$4:B36, MAX(IF(B$4:B36&lt;&gt;0, ROW(B$4:B36)-ROW(B$4)+1))))</f>
        <v>0</v>
      </c>
      <c r="D37" s="109">
        <v>0</v>
      </c>
      <c r="E37" s="109">
        <v>0</v>
      </c>
      <c r="F37" s="109">
        <v>0</v>
      </c>
      <c r="G37" s="158">
        <f t="shared" si="16"/>
        <v>0</v>
      </c>
      <c r="H37" s="158">
        <f t="shared" si="17"/>
        <v>0</v>
      </c>
      <c r="I37" s="109">
        <v>0</v>
      </c>
      <c r="J37" s="109">
        <v>0</v>
      </c>
      <c r="K37" s="158">
        <f t="shared" si="5"/>
        <v>0</v>
      </c>
      <c r="L37" s="16"/>
      <c r="M37" s="16"/>
      <c r="N37" s="4">
        <v>0</v>
      </c>
      <c r="O37" s="109">
        <v>0</v>
      </c>
      <c r="P37" s="137">
        <f t="shared" si="10"/>
        <v>0</v>
      </c>
      <c r="Q37" s="4">
        <v>0</v>
      </c>
      <c r="R37" s="177" cm="1">
        <f t="array" ref="R37">INDEX(FPLBillHistory_BilledPricePerKW_Range, MATCH(1, (A37&gt;=FPLBillHistory_BillFromDate_Range)*(A37&lt;=FPLBillHistory_BillToDate_Range), 0))</f>
        <v>0.13702267739575713</v>
      </c>
      <c r="S37" s="64">
        <f t="shared" si="35"/>
        <v>0</v>
      </c>
      <c r="T37" s="3">
        <f t="shared" si="36"/>
        <v>0</v>
      </c>
      <c r="U37" s="3">
        <f t="shared" si="37"/>
        <v>0</v>
      </c>
      <c r="V37" s="4">
        <v>0</v>
      </c>
      <c r="W37" s="3">
        <f t="shared" si="14"/>
        <v>0</v>
      </c>
      <c r="X37" s="3">
        <f t="shared" si="31"/>
        <v>0</v>
      </c>
      <c r="Y37" s="7">
        <f t="shared" si="32"/>
        <v>0</v>
      </c>
      <c r="Z37" s="5">
        <f t="shared" si="33"/>
        <v>0</v>
      </c>
      <c r="AA37" s="7">
        <f t="shared" si="34"/>
        <v>0</v>
      </c>
      <c r="AB37" s="3">
        <f t="shared" si="22"/>
        <v>0</v>
      </c>
      <c r="AC37" s="3">
        <f t="shared" si="23"/>
        <v>0</v>
      </c>
      <c r="AD37" s="3">
        <f t="shared" si="24"/>
        <v>0</v>
      </c>
      <c r="AE37" s="3">
        <f t="shared" si="25"/>
        <v>0</v>
      </c>
      <c r="AF37" s="3">
        <f t="shared" si="26"/>
        <v>0</v>
      </c>
      <c r="AG37" s="3">
        <f t="shared" si="27"/>
        <v>0</v>
      </c>
      <c r="AH37" s="112">
        <f>'Gas Chemistry'!$B$11*$W37</f>
        <v>0</v>
      </c>
      <c r="AI37" s="112">
        <f>'Gas Chemistry'!$B$12*$W37</f>
        <v>0</v>
      </c>
      <c r="AJ37" s="112">
        <v>0</v>
      </c>
      <c r="AK37" s="112">
        <f>'Gas Chemistry'!$B$13*$W37</f>
        <v>0</v>
      </c>
      <c r="AL37" s="112">
        <f>'Gas Chemistry'!$B$14*$W37</f>
        <v>0</v>
      </c>
      <c r="AM37" s="112">
        <f>'Gas Chemistry'!$B$15*$W37</f>
        <v>0</v>
      </c>
      <c r="AN37" s="112">
        <f>'Gas Chemistry'!$B$16*$W37</f>
        <v>0</v>
      </c>
      <c r="AO37" s="112">
        <f>'Gas Chemistry'!$B$17*$W37</f>
        <v>0</v>
      </c>
      <c r="AP37" s="14">
        <f>H37*Constants!$C$14</f>
        <v>0</v>
      </c>
      <c r="AQ37" s="114">
        <f>'Gas Chemistry'!$C$122*$AP37</f>
        <v>0</v>
      </c>
      <c r="AR37" s="113">
        <f>'Gas Chemistry'!$C$123*$AP37</f>
        <v>0</v>
      </c>
      <c r="AS37" s="113">
        <f>'Gas Chemistry'!$C$127*$AP37</f>
        <v>0</v>
      </c>
      <c r="AT37" s="114">
        <f>'Gas Chemistry'!$C$124*$AP37</f>
        <v>0</v>
      </c>
      <c r="AU37" s="114">
        <f>'Gas Chemistry'!$C$126*$AP37</f>
        <v>0</v>
      </c>
      <c r="AV37" s="114">
        <f>'Gas Chemistry'!$C$125*$AP37</f>
        <v>0</v>
      </c>
      <c r="AW37" s="114">
        <v>0</v>
      </c>
      <c r="AX37" s="114">
        <v>0</v>
      </c>
    </row>
    <row r="38" spans="1:50" x14ac:dyDescent="0.3">
      <c r="A38" s="178">
        <v>45933</v>
      </c>
      <c r="B38" s="109">
        <v>979</v>
      </c>
      <c r="C38" s="158" cm="1">
        <f t="array" ref="C38">IF(B38=0, 0, B38 - INDEX(B$4:B37, MAX(IF(B$4:B37&lt;&gt;0, ROW(B$4:B37)-ROW(B$4)+1))))</f>
        <v>13</v>
      </c>
      <c r="D38" s="109">
        <v>0</v>
      </c>
      <c r="E38" s="109">
        <v>0</v>
      </c>
      <c r="F38" s="109">
        <v>6</v>
      </c>
      <c r="G38" s="158">
        <f t="shared" si="16"/>
        <v>6</v>
      </c>
      <c r="H38" s="158">
        <f t="shared" si="17"/>
        <v>6</v>
      </c>
      <c r="I38" s="109">
        <v>72</v>
      </c>
      <c r="J38" s="109">
        <v>80</v>
      </c>
      <c r="K38" s="158">
        <f t="shared" si="5"/>
        <v>8</v>
      </c>
      <c r="L38" s="16">
        <v>4.1666666666666664E-2</v>
      </c>
      <c r="M38" s="16">
        <v>9.3055555555555558E-2</v>
      </c>
      <c r="N38" s="4">
        <v>1.25</v>
      </c>
      <c r="O38" s="109">
        <v>280</v>
      </c>
      <c r="P38" s="137">
        <f t="shared" si="10"/>
        <v>2.1666666666666665</v>
      </c>
      <c r="Q38" s="4">
        <v>0.39</v>
      </c>
      <c r="R38" s="177" cm="1">
        <f t="array" ref="R38">INDEX(FPLBillHistory_BilledPricePerKW_Range, MATCH(1, (A38&gt;=FPLBillHistory_BillFromDate_Range)*(A38&lt;=FPLBillHistory_BillToDate_Range), 0))</f>
        <v>0.13702267739575713</v>
      </c>
      <c r="S38" s="64">
        <f t="shared" si="35"/>
        <v>0</v>
      </c>
      <c r="T38" s="3">
        <f t="shared" si="36"/>
        <v>0.82213606437454279</v>
      </c>
      <c r="U38" s="3">
        <f t="shared" si="37"/>
        <v>0.82213606437454279</v>
      </c>
      <c r="V38" s="4">
        <v>2.79</v>
      </c>
      <c r="W38" s="3">
        <f t="shared" ref="W38:W68" si="38">C38/MPG_Kia</f>
        <v>0.52</v>
      </c>
      <c r="X38" s="3">
        <f t="shared" si="31"/>
        <v>1.4508000000000001</v>
      </c>
      <c r="Y38" s="7">
        <f t="shared" si="32"/>
        <v>0.6286639356254573</v>
      </c>
      <c r="Z38" s="5">
        <f t="shared" si="33"/>
        <v>0.43332226056345274</v>
      </c>
      <c r="AA38" s="7">
        <f t="shared" si="34"/>
        <v>1.5178639356254571</v>
      </c>
      <c r="AB38" s="3">
        <f t="shared" si="22"/>
        <v>2.34</v>
      </c>
      <c r="AC38" s="3">
        <f t="shared" si="23"/>
        <v>1.4508000000000001</v>
      </c>
      <c r="AD38" s="3">
        <f t="shared" si="24"/>
        <v>0.82213606437454279</v>
      </c>
      <c r="AE38" s="3">
        <f t="shared" si="25"/>
        <v>-0.88919999999999977</v>
      </c>
      <c r="AF38" s="3">
        <f t="shared" si="26"/>
        <v>0.6286639356254573</v>
      </c>
      <c r="AG38" s="3">
        <f t="shared" si="27"/>
        <v>1.5178639356254571</v>
      </c>
      <c r="AH38" s="112">
        <f>'Gas Chemistry'!$B$11*$W38</f>
        <v>10.192000000000002</v>
      </c>
      <c r="AI38" s="112">
        <f>'Gas Chemistry'!$B$12*$W38</f>
        <v>4.16</v>
      </c>
      <c r="AJ38" s="112">
        <v>0</v>
      </c>
      <c r="AK38" s="112">
        <f>'Gas Chemistry'!$B$13*$W38</f>
        <v>1.0400000000000001E-2</v>
      </c>
      <c r="AL38" s="112">
        <f>'Gas Chemistry'!$B$14*$W38</f>
        <v>5.2000000000000006E-3</v>
      </c>
      <c r="AM38" s="112">
        <f>'Gas Chemistry'!$B$15*$W38</f>
        <v>1.0400000000000001E-3</v>
      </c>
      <c r="AN38" s="112">
        <f>'Gas Chemistry'!$B$16*$W38</f>
        <v>5.2000000000000006E-4</v>
      </c>
      <c r="AO38" s="112">
        <f>'Gas Chemistry'!$B$17*$W38</f>
        <v>2.0800000000000003E-3</v>
      </c>
      <c r="AP38" s="14">
        <f>H38*Constants!$C$14</f>
        <v>20.472000000000001</v>
      </c>
      <c r="AQ38" s="114">
        <f>'Gas Chemistry'!$C$122*$AP38</f>
        <v>2.3952240000000002</v>
      </c>
      <c r="AR38" s="113">
        <f>'Gas Chemistry'!$C$123*$AP38</f>
        <v>2.9479679999999999</v>
      </c>
      <c r="AS38" s="113">
        <f>'Gas Chemistry'!$C$127*$AP38</f>
        <v>96.218400000000017</v>
      </c>
      <c r="AT38" s="114">
        <f>'Gas Chemistry'!$C$124*$AP38</f>
        <v>1.7196480000000001E-3</v>
      </c>
      <c r="AU38" s="114">
        <f>'Gas Chemistry'!$C$126*$AP38</f>
        <v>2.0472000000000003E-3</v>
      </c>
      <c r="AV38" s="114">
        <f>'Gas Chemistry'!$C$125*$AP38</f>
        <v>1.0236000000000002E-4</v>
      </c>
      <c r="AW38" s="114">
        <v>0</v>
      </c>
      <c r="AX38" s="114">
        <v>0</v>
      </c>
    </row>
    <row r="39" spans="1:50" x14ac:dyDescent="0.3">
      <c r="A39" s="178">
        <v>45934</v>
      </c>
      <c r="B39" s="109">
        <v>1014</v>
      </c>
      <c r="C39" s="158" cm="1">
        <f t="array" ref="C39">IF(B39=0, 0, B39 - INDEX(B$4:B38, MAX(IF(B$4:B38&lt;&gt;0, ROW(B$4:B38)-ROW(B$4)+1))))</f>
        <v>35</v>
      </c>
      <c r="D39" s="109">
        <v>0</v>
      </c>
      <c r="E39" s="109">
        <v>0</v>
      </c>
      <c r="F39" s="109">
        <v>27</v>
      </c>
      <c r="G39" s="158">
        <f t="shared" si="16"/>
        <v>27</v>
      </c>
      <c r="H39" s="158">
        <f t="shared" si="17"/>
        <v>27</v>
      </c>
      <c r="I39" s="109">
        <v>64</v>
      </c>
      <c r="J39" s="109">
        <v>100</v>
      </c>
      <c r="K39" s="158">
        <f t="shared" si="5"/>
        <v>36</v>
      </c>
      <c r="L39" s="16">
        <v>4.1666666666666664E-2</v>
      </c>
      <c r="M39" s="16">
        <v>0.26944444444444443</v>
      </c>
      <c r="N39" s="4">
        <v>5.5</v>
      </c>
      <c r="O39" s="109">
        <v>353</v>
      </c>
      <c r="P39" s="137">
        <f t="shared" si="10"/>
        <v>1.2962962962962963</v>
      </c>
      <c r="Q39" s="4">
        <v>0.4</v>
      </c>
      <c r="R39" s="177" cm="1">
        <f t="array" ref="R39">INDEX(FPLBillHistory_BilledPricePerKW_Range, MATCH(1, (A39&gt;=FPLBillHistory_BillFromDate_Range)*(A39&lt;=FPLBillHistory_BillToDate_Range), 0))</f>
        <v>0.13702267739575713</v>
      </c>
      <c r="S39" s="64">
        <f t="shared" si="35"/>
        <v>0</v>
      </c>
      <c r="T39" s="3">
        <f t="shared" si="36"/>
        <v>3.6996122896854424</v>
      </c>
      <c r="U39" s="3">
        <f t="shared" si="37"/>
        <v>3.6996122896854424</v>
      </c>
      <c r="V39" s="4">
        <v>2.79</v>
      </c>
      <c r="W39" s="3">
        <f t="shared" si="38"/>
        <v>1.4</v>
      </c>
      <c r="X39" s="3">
        <f t="shared" si="31"/>
        <v>3.9059999999999997</v>
      </c>
      <c r="Y39" s="7">
        <f t="shared" si="32"/>
        <v>0.20638771031455727</v>
      </c>
      <c r="Z39" s="5">
        <f t="shared" si="33"/>
        <v>5.2838635513199513E-2</v>
      </c>
      <c r="AA39" s="7">
        <f t="shared" si="34"/>
        <v>7.1003877103145587</v>
      </c>
      <c r="AB39" s="3">
        <f t="shared" si="22"/>
        <v>10.8</v>
      </c>
      <c r="AC39" s="3">
        <f t="shared" si="23"/>
        <v>3.9059999999999997</v>
      </c>
      <c r="AD39" s="3">
        <f t="shared" si="24"/>
        <v>3.6996122896854424</v>
      </c>
      <c r="AE39" s="3">
        <f t="shared" si="25"/>
        <v>-6.894000000000001</v>
      </c>
      <c r="AF39" s="3">
        <f t="shared" si="26"/>
        <v>0.20638771031455727</v>
      </c>
      <c r="AG39" s="3">
        <f t="shared" si="27"/>
        <v>7.1003877103145587</v>
      </c>
      <c r="AH39" s="112">
        <f>'Gas Chemistry'!$B$11*$W39</f>
        <v>27.44</v>
      </c>
      <c r="AI39" s="112">
        <f>'Gas Chemistry'!$B$12*$W39</f>
        <v>11.2</v>
      </c>
      <c r="AJ39" s="112">
        <v>0</v>
      </c>
      <c r="AK39" s="112">
        <f>'Gas Chemistry'!$B$13*$W39</f>
        <v>2.7999999999999997E-2</v>
      </c>
      <c r="AL39" s="112">
        <f>'Gas Chemistry'!$B$14*$W39</f>
        <v>1.3999999999999999E-2</v>
      </c>
      <c r="AM39" s="112">
        <f>'Gas Chemistry'!$B$15*$W39</f>
        <v>2.8E-3</v>
      </c>
      <c r="AN39" s="112">
        <f>'Gas Chemistry'!$B$16*$W39</f>
        <v>1.4E-3</v>
      </c>
      <c r="AO39" s="112">
        <f>'Gas Chemistry'!$B$17*$W39</f>
        <v>5.5999999999999999E-3</v>
      </c>
      <c r="AP39" s="14">
        <f>H39*Constants!$C$14</f>
        <v>92.123999999999995</v>
      </c>
      <c r="AQ39" s="114">
        <f>'Gas Chemistry'!$C$122*$AP39</f>
        <v>10.778508</v>
      </c>
      <c r="AR39" s="113">
        <f>'Gas Chemistry'!$C$123*$AP39</f>
        <v>13.265855999999998</v>
      </c>
      <c r="AS39" s="113">
        <f>'Gas Chemistry'!$C$127*$AP39</f>
        <v>432.9828</v>
      </c>
      <c r="AT39" s="114">
        <f>'Gas Chemistry'!$C$124*$AP39</f>
        <v>7.7384159999999988E-3</v>
      </c>
      <c r="AU39" s="114">
        <f>'Gas Chemistry'!$C$126*$AP39</f>
        <v>9.2124000000000008E-3</v>
      </c>
      <c r="AV39" s="114">
        <f>'Gas Chemistry'!$C$125*$AP39</f>
        <v>4.6062000000000002E-4</v>
      </c>
      <c r="AW39" s="114">
        <v>0</v>
      </c>
      <c r="AX39" s="114">
        <v>0</v>
      </c>
    </row>
    <row r="40" spans="1:50" x14ac:dyDescent="0.3">
      <c r="A40" s="178">
        <v>45935</v>
      </c>
      <c r="B40" s="109">
        <v>1264</v>
      </c>
      <c r="C40" s="158" cm="1">
        <f t="array" ref="C40">IF(B40=0, 0, B40 - INDEX(B$4:B39, MAX(IF(B$4:B39&lt;&gt;0, ROW(B$4:B39)-ROW(B$4)+1))))</f>
        <v>250</v>
      </c>
      <c r="D40" s="109">
        <v>18</v>
      </c>
      <c r="E40" s="109">
        <v>0</v>
      </c>
      <c r="F40" s="109">
        <v>29</v>
      </c>
      <c r="G40" s="158">
        <f t="shared" si="16"/>
        <v>29</v>
      </c>
      <c r="H40" s="158">
        <f t="shared" si="17"/>
        <v>47</v>
      </c>
      <c r="I40" s="109">
        <v>43</v>
      </c>
      <c r="J40" s="109">
        <v>80</v>
      </c>
      <c r="K40" s="158">
        <f t="shared" si="5"/>
        <v>37</v>
      </c>
      <c r="L40" s="16">
        <v>4.1666666666666664E-2</v>
      </c>
      <c r="M40" s="16">
        <v>0.2673611111111111</v>
      </c>
      <c r="N40" s="4">
        <v>5.5</v>
      </c>
      <c r="O40" s="109">
        <v>280</v>
      </c>
      <c r="P40" s="137">
        <f t="shared" si="10"/>
        <v>5.3191489361702127</v>
      </c>
      <c r="Q40" s="4">
        <v>0.4</v>
      </c>
      <c r="R40" s="177" cm="1">
        <f t="array" ref="R40">INDEX(FPLBillHistory_BilledPricePerKW_Range, MATCH(1, (A40&gt;=FPLBillHistory_BillFromDate_Range)*(A40&lt;=FPLBillHistory_BillToDate_Range), 0))</f>
        <v>0.13702267739575713</v>
      </c>
      <c r="S40" s="64">
        <f t="shared" si="35"/>
        <v>7.2</v>
      </c>
      <c r="T40" s="3">
        <f t="shared" si="36"/>
        <v>3.9736576444769569</v>
      </c>
      <c r="U40" s="3">
        <f t="shared" si="37"/>
        <v>11.173657644476958</v>
      </c>
      <c r="V40" s="4">
        <v>2.79</v>
      </c>
      <c r="W40" s="3">
        <f t="shared" si="38"/>
        <v>10</v>
      </c>
      <c r="X40" s="3">
        <f t="shared" si="31"/>
        <v>27.9</v>
      </c>
      <c r="Y40" s="7">
        <f t="shared" si="32"/>
        <v>16.726342355523041</v>
      </c>
      <c r="Z40" s="5">
        <f t="shared" si="33"/>
        <v>0.59951047869258212</v>
      </c>
      <c r="AA40" s="7">
        <f t="shared" si="34"/>
        <v>7.626342355523045</v>
      </c>
      <c r="AB40" s="3">
        <f t="shared" si="22"/>
        <v>18.8</v>
      </c>
      <c r="AC40" s="3">
        <f t="shared" si="23"/>
        <v>27.9</v>
      </c>
      <c r="AD40" s="3">
        <f t="shared" si="24"/>
        <v>6.440065837600585</v>
      </c>
      <c r="AE40" s="3">
        <f t="shared" si="25"/>
        <v>9.0999999999999979</v>
      </c>
      <c r="AF40" s="3">
        <f t="shared" si="26"/>
        <v>21.459934162399414</v>
      </c>
      <c r="AG40" s="3">
        <f t="shared" si="27"/>
        <v>12.359934162399416</v>
      </c>
      <c r="AH40" s="112">
        <f>'Gas Chemistry'!$B$11*$W40</f>
        <v>196</v>
      </c>
      <c r="AI40" s="112">
        <f>'Gas Chemistry'!$B$12*$W40</f>
        <v>80</v>
      </c>
      <c r="AJ40" s="112">
        <v>0</v>
      </c>
      <c r="AK40" s="112">
        <f>'Gas Chemistry'!$B$13*$W40</f>
        <v>0.2</v>
      </c>
      <c r="AL40" s="112">
        <f>'Gas Chemistry'!$B$14*$W40</f>
        <v>0.1</v>
      </c>
      <c r="AM40" s="112">
        <f>'Gas Chemistry'!$B$15*$W40</f>
        <v>0.02</v>
      </c>
      <c r="AN40" s="112">
        <f>'Gas Chemistry'!$B$16*$W40</f>
        <v>0.01</v>
      </c>
      <c r="AO40" s="112">
        <f>'Gas Chemistry'!$B$17*$W40</f>
        <v>0.04</v>
      </c>
      <c r="AP40" s="14">
        <f>H40*Constants!$C$14</f>
        <v>160.364</v>
      </c>
      <c r="AQ40" s="114">
        <f>'Gas Chemistry'!$C$122*$AP40</f>
        <v>18.762588000000001</v>
      </c>
      <c r="AR40" s="113">
        <f>'Gas Chemistry'!$C$123*$AP40</f>
        <v>23.092416</v>
      </c>
      <c r="AS40" s="113">
        <f>'Gas Chemistry'!$C$127*$AP40</f>
        <v>753.71080000000006</v>
      </c>
      <c r="AT40" s="114">
        <f>'Gas Chemistry'!$C$124*$AP40</f>
        <v>1.3470576E-2</v>
      </c>
      <c r="AU40" s="114">
        <f>'Gas Chemistry'!$C$126*$AP40</f>
        <v>1.6036400000000003E-2</v>
      </c>
      <c r="AV40" s="114">
        <f>'Gas Chemistry'!$C$125*$AP40</f>
        <v>8.0182000000000007E-4</v>
      </c>
      <c r="AW40" s="114">
        <v>0</v>
      </c>
      <c r="AX40" s="114">
        <v>0</v>
      </c>
    </row>
    <row r="41" spans="1:50" x14ac:dyDescent="0.3">
      <c r="A41" s="178">
        <v>45936</v>
      </c>
      <c r="B41" s="109">
        <v>1313</v>
      </c>
      <c r="C41" s="158" cm="1">
        <f t="array" ref="C41">IF(B41=0, 0, B41 - INDEX(B$4:B40, MAX(IF(B$4:B40&lt;&gt;0, ROW(B$4:B40)-ROW(B$4)+1))))</f>
        <v>49</v>
      </c>
      <c r="D41" s="109">
        <v>0</v>
      </c>
      <c r="E41" s="109">
        <v>0</v>
      </c>
      <c r="F41" s="109">
        <v>13</v>
      </c>
      <c r="G41" s="158">
        <f t="shared" si="16"/>
        <v>13</v>
      </c>
      <c r="H41" s="158">
        <f t="shared" si="17"/>
        <v>13</v>
      </c>
      <c r="I41" s="109">
        <v>63</v>
      </c>
      <c r="J41" s="109">
        <v>80</v>
      </c>
      <c r="K41" s="158">
        <f t="shared" si="5"/>
        <v>17</v>
      </c>
      <c r="L41" s="16">
        <v>4.1666666666666664E-2</v>
      </c>
      <c r="M41" s="16">
        <v>0.14374999999999999</v>
      </c>
      <c r="N41" s="4">
        <v>2.5</v>
      </c>
      <c r="O41" s="109">
        <v>280</v>
      </c>
      <c r="P41" s="137">
        <f t="shared" si="10"/>
        <v>3.7692307692307692</v>
      </c>
      <c r="Q41" s="4">
        <v>0.4</v>
      </c>
      <c r="R41" s="177" cm="1">
        <f t="array" ref="R41">INDEX(FPLBillHistory_BilledPricePerKW_Range, MATCH(1, (A41&gt;=FPLBillHistory_BillFromDate_Range)*(A41&lt;=FPLBillHistory_BillToDate_Range), 0))</f>
        <v>0.13702267739575713</v>
      </c>
      <c r="S41" s="64">
        <f t="shared" si="35"/>
        <v>0</v>
      </c>
      <c r="T41" s="3">
        <f t="shared" si="36"/>
        <v>1.7812948061448428</v>
      </c>
      <c r="U41" s="3">
        <f t="shared" si="37"/>
        <v>1.7812948061448428</v>
      </c>
      <c r="V41" s="4">
        <v>2.7</v>
      </c>
      <c r="W41" s="3">
        <f t="shared" si="38"/>
        <v>1.96</v>
      </c>
      <c r="X41" s="3">
        <f t="shared" si="31"/>
        <v>5.2919999999999998</v>
      </c>
      <c r="Y41" s="7">
        <f t="shared" si="32"/>
        <v>3.510705193855157</v>
      </c>
      <c r="Z41" s="5">
        <f t="shared" si="33"/>
        <v>0.66339856270883546</v>
      </c>
      <c r="AA41" s="7">
        <f t="shared" si="34"/>
        <v>3.4187051938551574</v>
      </c>
      <c r="AB41" s="3">
        <f t="shared" si="22"/>
        <v>5.2</v>
      </c>
      <c r="AC41" s="3">
        <f t="shared" si="23"/>
        <v>5.2919999999999998</v>
      </c>
      <c r="AD41" s="3">
        <f t="shared" si="24"/>
        <v>1.7812948061448428</v>
      </c>
      <c r="AE41" s="3">
        <f t="shared" si="25"/>
        <v>9.1999999999999638E-2</v>
      </c>
      <c r="AF41" s="3">
        <f t="shared" si="26"/>
        <v>3.510705193855157</v>
      </c>
      <c r="AG41" s="3">
        <f t="shared" si="27"/>
        <v>3.4187051938551574</v>
      </c>
      <c r="AH41" s="112">
        <f>'Gas Chemistry'!$B$11*$W41</f>
        <v>38.416000000000004</v>
      </c>
      <c r="AI41" s="112">
        <f>'Gas Chemistry'!$B$12*$W41</f>
        <v>15.68</v>
      </c>
      <c r="AJ41" s="112">
        <v>0</v>
      </c>
      <c r="AK41" s="112">
        <f>'Gas Chemistry'!$B$13*$W41</f>
        <v>3.9199999999999999E-2</v>
      </c>
      <c r="AL41" s="112">
        <f>'Gas Chemistry'!$B$14*$W41</f>
        <v>1.9599999999999999E-2</v>
      </c>
      <c r="AM41" s="112">
        <f>'Gas Chemistry'!$B$15*$W41</f>
        <v>3.9199999999999999E-3</v>
      </c>
      <c r="AN41" s="112">
        <f>'Gas Chemistry'!$B$16*$W41</f>
        <v>1.9599999999999999E-3</v>
      </c>
      <c r="AO41" s="112">
        <f>'Gas Chemistry'!$B$17*$W41</f>
        <v>7.8399999999999997E-3</v>
      </c>
      <c r="AP41" s="14">
        <f>H41*Constants!$C$14</f>
        <v>44.356000000000002</v>
      </c>
      <c r="AQ41" s="114">
        <f>'Gas Chemistry'!$C$122*$AP41</f>
        <v>5.1896520000000006</v>
      </c>
      <c r="AR41" s="113">
        <f>'Gas Chemistry'!$C$123*$AP41</f>
        <v>6.3872640000000001</v>
      </c>
      <c r="AS41" s="113">
        <f>'Gas Chemistry'!$C$127*$AP41</f>
        <v>208.47320000000002</v>
      </c>
      <c r="AT41" s="114">
        <f>'Gas Chemistry'!$C$124*$AP41</f>
        <v>3.7259039999999999E-3</v>
      </c>
      <c r="AU41" s="114">
        <f>'Gas Chemistry'!$C$126*$AP41</f>
        <v>4.4356000000000005E-3</v>
      </c>
      <c r="AV41" s="114">
        <f>'Gas Chemistry'!$C$125*$AP41</f>
        <v>2.2178000000000003E-4</v>
      </c>
      <c r="AW41" s="114">
        <v>0</v>
      </c>
      <c r="AX41" s="114">
        <v>0</v>
      </c>
    </row>
    <row r="42" spans="1:50" x14ac:dyDescent="0.3">
      <c r="A42" s="178">
        <v>45937</v>
      </c>
      <c r="B42" s="109">
        <v>0</v>
      </c>
      <c r="C42" s="158" cm="1">
        <f t="array" ref="C42">IF(B42=0, 0, B42 - INDEX(B$4:B41, MAX(IF(B$4:B41&lt;&gt;0, ROW(B$4:B41)-ROW(B$4)+1))))</f>
        <v>0</v>
      </c>
      <c r="D42" s="109">
        <v>0</v>
      </c>
      <c r="E42" s="109">
        <v>0</v>
      </c>
      <c r="F42" s="109">
        <v>0</v>
      </c>
      <c r="G42" s="158">
        <f t="shared" si="16"/>
        <v>0</v>
      </c>
      <c r="H42" s="158">
        <f t="shared" si="17"/>
        <v>0</v>
      </c>
      <c r="I42" s="109">
        <v>0</v>
      </c>
      <c r="J42" s="109">
        <v>0</v>
      </c>
      <c r="K42" s="158">
        <f t="shared" si="5"/>
        <v>0</v>
      </c>
      <c r="L42" s="16"/>
      <c r="M42" s="16"/>
      <c r="N42" s="4">
        <v>0</v>
      </c>
      <c r="O42" s="109">
        <v>0</v>
      </c>
      <c r="P42" s="137">
        <f t="shared" si="10"/>
        <v>0</v>
      </c>
      <c r="Q42" s="4">
        <v>0</v>
      </c>
      <c r="R42" s="177" cm="1">
        <f t="array" ref="R42">INDEX(FPLBillHistory_BilledPricePerKW_Range, MATCH(1, (A42&gt;=FPLBillHistory_BillFromDate_Range)*(A42&lt;=FPLBillHistory_BillToDate_Range), 0))</f>
        <v>0.13702267739575713</v>
      </c>
      <c r="S42" s="64">
        <f t="shared" si="35"/>
        <v>0</v>
      </c>
      <c r="T42" s="3">
        <f t="shared" si="36"/>
        <v>0</v>
      </c>
      <c r="U42" s="3">
        <f t="shared" si="37"/>
        <v>0</v>
      </c>
      <c r="V42" s="4">
        <v>0</v>
      </c>
      <c r="W42" s="3">
        <f t="shared" si="38"/>
        <v>0</v>
      </c>
      <c r="X42" s="3">
        <f t="shared" si="31"/>
        <v>0</v>
      </c>
      <c r="Y42" s="7">
        <f t="shared" si="32"/>
        <v>0</v>
      </c>
      <c r="Z42" s="5">
        <f t="shared" si="33"/>
        <v>0</v>
      </c>
      <c r="AA42" s="7">
        <f t="shared" si="34"/>
        <v>0</v>
      </c>
      <c r="AB42" s="3">
        <f t="shared" si="22"/>
        <v>0</v>
      </c>
      <c r="AC42" s="3">
        <f t="shared" si="23"/>
        <v>0</v>
      </c>
      <c r="AD42" s="3">
        <f t="shared" si="24"/>
        <v>0</v>
      </c>
      <c r="AE42" s="3">
        <f t="shared" si="25"/>
        <v>0</v>
      </c>
      <c r="AF42" s="3">
        <f t="shared" si="26"/>
        <v>0</v>
      </c>
      <c r="AG42" s="3">
        <f t="shared" si="27"/>
        <v>0</v>
      </c>
      <c r="AH42" s="112">
        <f>'Gas Chemistry'!$B$11*$W42</f>
        <v>0</v>
      </c>
      <c r="AI42" s="112">
        <f>'Gas Chemistry'!$B$12*$W42</f>
        <v>0</v>
      </c>
      <c r="AJ42" s="112">
        <v>0</v>
      </c>
      <c r="AK42" s="112">
        <f>'Gas Chemistry'!$B$13*$W42</f>
        <v>0</v>
      </c>
      <c r="AL42" s="112">
        <f>'Gas Chemistry'!$B$14*$W42</f>
        <v>0</v>
      </c>
      <c r="AM42" s="112">
        <f>'Gas Chemistry'!$B$15*$W42</f>
        <v>0</v>
      </c>
      <c r="AN42" s="112">
        <f>'Gas Chemistry'!$B$16*$W42</f>
        <v>0</v>
      </c>
      <c r="AO42" s="112">
        <f>'Gas Chemistry'!$B$17*$W42</f>
        <v>0</v>
      </c>
      <c r="AP42" s="14">
        <f>H42*Constants!$C$14</f>
        <v>0</v>
      </c>
      <c r="AQ42" s="114">
        <f>'Gas Chemistry'!$C$122*$AP42</f>
        <v>0</v>
      </c>
      <c r="AR42" s="113">
        <f>'Gas Chemistry'!$C$123*$AP42</f>
        <v>0</v>
      </c>
      <c r="AS42" s="113">
        <f>'Gas Chemistry'!$C$127*$AP42</f>
        <v>0</v>
      </c>
      <c r="AT42" s="114">
        <f>'Gas Chemistry'!$C$124*$AP42</f>
        <v>0</v>
      </c>
      <c r="AU42" s="114">
        <f>'Gas Chemistry'!$C$126*$AP42</f>
        <v>0</v>
      </c>
      <c r="AV42" s="114">
        <f>'Gas Chemistry'!$C$125*$AP42</f>
        <v>0</v>
      </c>
      <c r="AW42" s="114">
        <v>0</v>
      </c>
      <c r="AX42" s="114">
        <v>0</v>
      </c>
    </row>
    <row r="43" spans="1:50" x14ac:dyDescent="0.3">
      <c r="A43" s="178">
        <v>45938</v>
      </c>
      <c r="B43" s="109">
        <v>1362</v>
      </c>
      <c r="C43" s="158" cm="1">
        <f t="array" ref="C43">IF(B43=0, 0, B43 - INDEX(B$4:B42, MAX(IF(B$4:B42&lt;&gt;0, ROW(B$4:B42)-ROW(B$4)+1))))</f>
        <v>49</v>
      </c>
      <c r="D43" s="109">
        <v>0</v>
      </c>
      <c r="E43" s="109">
        <v>0</v>
      </c>
      <c r="F43" s="109">
        <v>14</v>
      </c>
      <c r="G43" s="158">
        <f t="shared" si="16"/>
        <v>14</v>
      </c>
      <c r="H43" s="158">
        <f t="shared" si="17"/>
        <v>14</v>
      </c>
      <c r="I43" s="109">
        <v>62</v>
      </c>
      <c r="J43" s="109">
        <v>80</v>
      </c>
      <c r="K43" s="158">
        <f t="shared" si="5"/>
        <v>18</v>
      </c>
      <c r="L43" s="16">
        <v>4.1666666666666664E-2</v>
      </c>
      <c r="M43" s="16">
        <v>0.16666666666666666</v>
      </c>
      <c r="N43" s="4">
        <v>3</v>
      </c>
      <c r="O43" s="109">
        <v>280</v>
      </c>
      <c r="P43" s="137">
        <f t="shared" si="10"/>
        <v>3.5</v>
      </c>
      <c r="Q43" s="4">
        <v>0.4</v>
      </c>
      <c r="R43" s="177" cm="1">
        <f t="array" ref="R43">INDEX(FPLBillHistory_BilledPricePerKW_Range, MATCH(1, (A43&gt;=FPLBillHistory_BillFromDate_Range)*(A43&lt;=FPLBillHistory_BillToDate_Range), 0))</f>
        <v>0.13702267739575713</v>
      </c>
      <c r="S43" s="64">
        <f t="shared" si="35"/>
        <v>0</v>
      </c>
      <c r="T43" s="3">
        <f t="shared" si="36"/>
        <v>1.9183174835405998</v>
      </c>
      <c r="U43" s="3">
        <f t="shared" si="37"/>
        <v>1.9183174835405998</v>
      </c>
      <c r="V43" s="4">
        <v>2.7</v>
      </c>
      <c r="W43" s="3">
        <f t="shared" si="38"/>
        <v>1.96</v>
      </c>
      <c r="X43" s="3">
        <f t="shared" si="31"/>
        <v>5.2919999999999998</v>
      </c>
      <c r="Y43" s="7">
        <f t="shared" si="32"/>
        <v>3.3736825164594002</v>
      </c>
      <c r="Z43" s="5">
        <f t="shared" si="33"/>
        <v>0.637506144455669</v>
      </c>
      <c r="AA43" s="7">
        <f t="shared" si="34"/>
        <v>3.6816825164594009</v>
      </c>
      <c r="AB43" s="3">
        <f t="shared" si="22"/>
        <v>5.6000000000000005</v>
      </c>
      <c r="AC43" s="3">
        <f t="shared" si="23"/>
        <v>5.2919999999999998</v>
      </c>
      <c r="AD43" s="3">
        <f t="shared" si="24"/>
        <v>1.9183174835405998</v>
      </c>
      <c r="AE43" s="3">
        <f t="shared" si="25"/>
        <v>-0.30800000000000072</v>
      </c>
      <c r="AF43" s="3">
        <f t="shared" si="26"/>
        <v>3.3736825164594002</v>
      </c>
      <c r="AG43" s="3">
        <f t="shared" si="27"/>
        <v>3.6816825164594009</v>
      </c>
      <c r="AH43" s="112">
        <f>'Gas Chemistry'!$B$11*$W43</f>
        <v>38.416000000000004</v>
      </c>
      <c r="AI43" s="112">
        <f>'Gas Chemistry'!$B$12*$W43</f>
        <v>15.68</v>
      </c>
      <c r="AJ43" s="112">
        <v>0</v>
      </c>
      <c r="AK43" s="112">
        <f>'Gas Chemistry'!$B$13*$W43</f>
        <v>3.9199999999999999E-2</v>
      </c>
      <c r="AL43" s="112">
        <f>'Gas Chemistry'!$B$14*$W43</f>
        <v>1.9599999999999999E-2</v>
      </c>
      <c r="AM43" s="112">
        <f>'Gas Chemistry'!$B$15*$W43</f>
        <v>3.9199999999999999E-3</v>
      </c>
      <c r="AN43" s="112">
        <f>'Gas Chemistry'!$B$16*$W43</f>
        <v>1.9599999999999999E-3</v>
      </c>
      <c r="AO43" s="112">
        <f>'Gas Chemistry'!$B$17*$W43</f>
        <v>7.8399999999999997E-3</v>
      </c>
      <c r="AP43" s="14">
        <f>H43*Constants!$C$14</f>
        <v>47.768000000000001</v>
      </c>
      <c r="AQ43" s="114">
        <f>'Gas Chemistry'!$C$122*$AP43</f>
        <v>5.5888560000000007</v>
      </c>
      <c r="AR43" s="113">
        <f>'Gas Chemistry'!$C$123*$AP43</f>
        <v>6.8785919999999994</v>
      </c>
      <c r="AS43" s="113">
        <f>'Gas Chemistry'!$C$127*$AP43</f>
        <v>224.50960000000001</v>
      </c>
      <c r="AT43" s="114">
        <f>'Gas Chemistry'!$C$124*$AP43</f>
        <v>4.0125120000000002E-3</v>
      </c>
      <c r="AU43" s="114">
        <f>'Gas Chemistry'!$C$126*$AP43</f>
        <v>4.7768000000000003E-3</v>
      </c>
      <c r="AV43" s="114">
        <f>'Gas Chemistry'!$C$125*$AP43</f>
        <v>2.3884000000000001E-4</v>
      </c>
      <c r="AW43" s="114">
        <v>0</v>
      </c>
      <c r="AX43" s="114">
        <v>0</v>
      </c>
    </row>
    <row r="44" spans="1:50" x14ac:dyDescent="0.3">
      <c r="A44" s="178">
        <v>45939</v>
      </c>
      <c r="B44" s="109">
        <v>1431</v>
      </c>
      <c r="C44" s="158" cm="1">
        <f t="array" ref="C44">IF(B44=0, 0, B44 - INDEX(B$4:B43, MAX(IF(B$4:B43&lt;&gt;0, ROW(B$4:B43)-ROW(B$4)+1))))</f>
        <v>69</v>
      </c>
      <c r="D44" s="109">
        <v>0</v>
      </c>
      <c r="E44" s="109">
        <v>0</v>
      </c>
      <c r="F44" s="109">
        <v>19</v>
      </c>
      <c r="G44" s="158">
        <f t="shared" si="16"/>
        <v>19</v>
      </c>
      <c r="H44" s="158">
        <f t="shared" si="17"/>
        <v>19</v>
      </c>
      <c r="I44" s="109">
        <v>56</v>
      </c>
      <c r="J44" s="109">
        <v>80</v>
      </c>
      <c r="K44" s="158">
        <f t="shared" si="5"/>
        <v>24</v>
      </c>
      <c r="L44" s="16">
        <v>4.1666666666666664E-2</v>
      </c>
      <c r="M44" s="16">
        <v>0.18402777777777779</v>
      </c>
      <c r="N44" s="4">
        <v>3.5</v>
      </c>
      <c r="O44" s="109">
        <v>280</v>
      </c>
      <c r="P44" s="137">
        <f t="shared" si="10"/>
        <v>3.6315789473684212</v>
      </c>
      <c r="Q44" s="4">
        <v>0.4</v>
      </c>
      <c r="R44" s="177" cm="1">
        <f t="array" ref="R44">INDEX(FPLBillHistory_BilledPricePerKW_Range, MATCH(1, (A44&gt;=FPLBillHistory_BillFromDate_Range)*(A44&lt;=FPLBillHistory_BillToDate_Range), 0))</f>
        <v>0.13702267739575713</v>
      </c>
      <c r="S44" s="64">
        <f t="shared" si="35"/>
        <v>0</v>
      </c>
      <c r="T44" s="3">
        <f t="shared" si="36"/>
        <v>2.6034308705193854</v>
      </c>
      <c r="U44" s="3">
        <f t="shared" si="37"/>
        <v>2.6034308705193854</v>
      </c>
      <c r="V44" s="4">
        <v>2.7</v>
      </c>
      <c r="W44" s="3">
        <f t="shared" si="38"/>
        <v>2.76</v>
      </c>
      <c r="X44" s="3">
        <f t="shared" si="31"/>
        <v>7.452</v>
      </c>
      <c r="Y44" s="7">
        <f t="shared" si="32"/>
        <v>4.8485691294806141</v>
      </c>
      <c r="Z44" s="5">
        <f t="shared" si="33"/>
        <v>0.65063997980147803</v>
      </c>
      <c r="AA44" s="7">
        <f t="shared" si="34"/>
        <v>4.9965691294806156</v>
      </c>
      <c r="AB44" s="3">
        <f t="shared" si="22"/>
        <v>7.6000000000000005</v>
      </c>
      <c r="AC44" s="3">
        <f t="shared" si="23"/>
        <v>7.452</v>
      </c>
      <c r="AD44" s="3">
        <f t="shared" si="24"/>
        <v>2.6034308705193854</v>
      </c>
      <c r="AE44" s="3">
        <f t="shared" si="25"/>
        <v>-0.14800000000000058</v>
      </c>
      <c r="AF44" s="3">
        <f t="shared" si="26"/>
        <v>4.8485691294806141</v>
      </c>
      <c r="AG44" s="3">
        <f t="shared" si="27"/>
        <v>4.9965691294806156</v>
      </c>
      <c r="AH44" s="112">
        <f>'Gas Chemistry'!$B$11*$W44</f>
        <v>54.095999999999997</v>
      </c>
      <c r="AI44" s="112">
        <f>'Gas Chemistry'!$B$12*$W44</f>
        <v>22.08</v>
      </c>
      <c r="AJ44" s="112">
        <v>0</v>
      </c>
      <c r="AK44" s="112">
        <f>'Gas Chemistry'!$B$13*$W44</f>
        <v>5.5199999999999999E-2</v>
      </c>
      <c r="AL44" s="112">
        <f>'Gas Chemistry'!$B$14*$W44</f>
        <v>2.76E-2</v>
      </c>
      <c r="AM44" s="112">
        <f>'Gas Chemistry'!$B$15*$W44</f>
        <v>5.5199999999999997E-3</v>
      </c>
      <c r="AN44" s="112">
        <f>'Gas Chemistry'!$B$16*$W44</f>
        <v>2.7599999999999999E-3</v>
      </c>
      <c r="AO44" s="112">
        <f>'Gas Chemistry'!$B$17*$W44</f>
        <v>1.1039999999999999E-2</v>
      </c>
      <c r="AP44" s="14">
        <f>H44*Constants!$C$14</f>
        <v>64.828000000000003</v>
      </c>
      <c r="AQ44" s="114">
        <f>'Gas Chemistry'!$C$122*$AP44</f>
        <v>7.5848760000000004</v>
      </c>
      <c r="AR44" s="113">
        <f>'Gas Chemistry'!$C$123*$AP44</f>
        <v>9.3352319999999995</v>
      </c>
      <c r="AS44" s="113">
        <f>'Gas Chemistry'!$C$127*$AP44</f>
        <v>304.69160000000005</v>
      </c>
      <c r="AT44" s="114">
        <f>'Gas Chemistry'!$C$124*$AP44</f>
        <v>5.4455520000000002E-3</v>
      </c>
      <c r="AU44" s="114">
        <f>'Gas Chemistry'!$C$126*$AP44</f>
        <v>6.4828000000000004E-3</v>
      </c>
      <c r="AV44" s="114">
        <f>'Gas Chemistry'!$C$125*$AP44</f>
        <v>3.2414000000000005E-4</v>
      </c>
      <c r="AW44" s="114">
        <v>0</v>
      </c>
      <c r="AX44" s="114">
        <v>0</v>
      </c>
    </row>
    <row r="45" spans="1:50" x14ac:dyDescent="0.3">
      <c r="A45" s="178">
        <v>45940</v>
      </c>
      <c r="B45" s="109">
        <v>1499</v>
      </c>
      <c r="C45" s="158" cm="1">
        <f t="array" ref="C45">IF(B45=0, 0, B45 - INDEX(B$4:B44, MAX(IF(B$4:B44&lt;&gt;0, ROW(B$4:B44)-ROW(B$4)+1))))</f>
        <v>68</v>
      </c>
      <c r="D45" s="109">
        <v>0</v>
      </c>
      <c r="E45" s="109">
        <v>0</v>
      </c>
      <c r="F45" s="109">
        <v>18</v>
      </c>
      <c r="G45" s="158">
        <f t="shared" si="16"/>
        <v>18</v>
      </c>
      <c r="H45" s="158">
        <f t="shared" si="17"/>
        <v>18</v>
      </c>
      <c r="I45" s="109">
        <v>57</v>
      </c>
      <c r="J45" s="109">
        <v>80</v>
      </c>
      <c r="K45" s="158">
        <f t="shared" si="5"/>
        <v>23</v>
      </c>
      <c r="L45" s="16">
        <v>4.1666666666666664E-2</v>
      </c>
      <c r="M45" s="16">
        <v>0.18402777777777779</v>
      </c>
      <c r="N45" s="4">
        <v>3.5</v>
      </c>
      <c r="O45" s="109">
        <v>280</v>
      </c>
      <c r="P45" s="137">
        <f t="shared" si="10"/>
        <v>3.7777777777777777</v>
      </c>
      <c r="Q45" s="4">
        <v>0.4</v>
      </c>
      <c r="R45" s="177" cm="1">
        <f t="array" ref="R45">INDEX(FPLBillHistory_BilledPricePerKW_Range, MATCH(1, (A45&gt;=FPLBillHistory_BillFromDate_Range)*(A45&lt;=FPLBillHistory_BillToDate_Range), 0))</f>
        <v>0.13702267739575713</v>
      </c>
      <c r="S45" s="64">
        <f t="shared" si="35"/>
        <v>0</v>
      </c>
      <c r="T45" s="3">
        <f t="shared" si="36"/>
        <v>2.4664081931236286</v>
      </c>
      <c r="U45" s="3">
        <f t="shared" si="37"/>
        <v>2.4664081931236286</v>
      </c>
      <c r="V45" s="4">
        <v>2.7</v>
      </c>
      <c r="W45" s="3">
        <f t="shared" si="38"/>
        <v>2.72</v>
      </c>
      <c r="X45" s="3">
        <f t="shared" si="31"/>
        <v>7.3440000000000012</v>
      </c>
      <c r="Y45" s="7">
        <f t="shared" si="32"/>
        <v>4.8775918068763726</v>
      </c>
      <c r="Z45" s="5">
        <f t="shared" si="33"/>
        <v>0.66416010442216389</v>
      </c>
      <c r="AA45" s="7">
        <f t="shared" si="34"/>
        <v>4.7335918068763716</v>
      </c>
      <c r="AB45" s="3">
        <f t="shared" si="22"/>
        <v>7.2</v>
      </c>
      <c r="AC45" s="3">
        <f t="shared" si="23"/>
        <v>7.3440000000000012</v>
      </c>
      <c r="AD45" s="3">
        <f t="shared" si="24"/>
        <v>2.4664081931236286</v>
      </c>
      <c r="AE45" s="3">
        <f t="shared" si="25"/>
        <v>0.14400000000000102</v>
      </c>
      <c r="AF45" s="3">
        <f t="shared" si="26"/>
        <v>4.8775918068763726</v>
      </c>
      <c r="AG45" s="3">
        <f t="shared" si="27"/>
        <v>4.7335918068763716</v>
      </c>
      <c r="AH45" s="112">
        <f>'Gas Chemistry'!$B$11*$W45</f>
        <v>53.312000000000005</v>
      </c>
      <c r="AI45" s="112">
        <f>'Gas Chemistry'!$B$12*$W45</f>
        <v>21.76</v>
      </c>
      <c r="AJ45" s="112">
        <v>0</v>
      </c>
      <c r="AK45" s="112">
        <f>'Gas Chemistry'!$B$13*$W45</f>
        <v>5.4400000000000004E-2</v>
      </c>
      <c r="AL45" s="112">
        <f>'Gas Chemistry'!$B$14*$W45</f>
        <v>2.7200000000000002E-2</v>
      </c>
      <c r="AM45" s="112">
        <f>'Gas Chemistry'!$B$15*$W45</f>
        <v>5.4400000000000004E-3</v>
      </c>
      <c r="AN45" s="112">
        <f>'Gas Chemistry'!$B$16*$W45</f>
        <v>2.7200000000000002E-3</v>
      </c>
      <c r="AO45" s="112">
        <f>'Gas Chemistry'!$B$17*$W45</f>
        <v>1.0880000000000001E-2</v>
      </c>
      <c r="AP45" s="14">
        <f>H45*Constants!$C$14</f>
        <v>61.415999999999997</v>
      </c>
      <c r="AQ45" s="114">
        <f>'Gas Chemistry'!$C$122*$AP45</f>
        <v>7.1856720000000003</v>
      </c>
      <c r="AR45" s="113">
        <f>'Gas Chemistry'!$C$123*$AP45</f>
        <v>8.8439039999999984</v>
      </c>
      <c r="AS45" s="113">
        <f>'Gas Chemistry'!$C$127*$AP45</f>
        <v>288.65519999999998</v>
      </c>
      <c r="AT45" s="114">
        <f>'Gas Chemistry'!$C$124*$AP45</f>
        <v>5.1589439999999995E-3</v>
      </c>
      <c r="AU45" s="114">
        <f>'Gas Chemistry'!$C$126*$AP45</f>
        <v>6.1415999999999997E-3</v>
      </c>
      <c r="AV45" s="114">
        <f>'Gas Chemistry'!$C$125*$AP45</f>
        <v>3.0707999999999999E-4</v>
      </c>
      <c r="AW45" s="114">
        <v>0</v>
      </c>
      <c r="AX45" s="114">
        <v>0</v>
      </c>
    </row>
    <row r="46" spans="1:50" x14ac:dyDescent="0.3">
      <c r="A46" s="178">
        <v>45941</v>
      </c>
      <c r="B46" s="109">
        <v>0</v>
      </c>
      <c r="C46" s="158" cm="1">
        <f t="array" ref="C46">IF(B46=0, 0, B46 - INDEX(B$4:B45, MAX(IF(B$4:B45&lt;&gt;0, ROW(B$4:B45)-ROW(B$4)+1))))</f>
        <v>0</v>
      </c>
      <c r="D46" s="109">
        <v>0</v>
      </c>
      <c r="E46" s="109">
        <v>0</v>
      </c>
      <c r="F46" s="109">
        <v>0</v>
      </c>
      <c r="G46" s="158">
        <f t="shared" si="16"/>
        <v>0</v>
      </c>
      <c r="H46" s="158">
        <f t="shared" si="17"/>
        <v>0</v>
      </c>
      <c r="I46" s="109">
        <v>0</v>
      </c>
      <c r="J46" s="109">
        <v>0</v>
      </c>
      <c r="K46" s="158">
        <f t="shared" si="5"/>
        <v>0</v>
      </c>
      <c r="L46" s="16">
        <v>0</v>
      </c>
      <c r="M46" s="16">
        <v>0</v>
      </c>
      <c r="N46" s="4">
        <v>0</v>
      </c>
      <c r="O46" s="109">
        <v>0</v>
      </c>
      <c r="P46" s="137">
        <f t="shared" si="10"/>
        <v>0</v>
      </c>
      <c r="Q46" s="4">
        <v>0</v>
      </c>
      <c r="R46" s="177" cm="1">
        <f t="array" ref="R46">INDEX(FPLBillHistory_BilledPricePerKW_Range, MATCH(1, (A46&gt;=FPLBillHistory_BillFromDate_Range)*(A46&lt;=FPLBillHistory_BillToDate_Range), 0))</f>
        <v>0.13702267739575713</v>
      </c>
      <c r="S46" s="64">
        <f t="shared" si="35"/>
        <v>0</v>
      </c>
      <c r="T46" s="3">
        <f t="shared" si="36"/>
        <v>0</v>
      </c>
      <c r="U46" s="3">
        <f t="shared" si="37"/>
        <v>0</v>
      </c>
      <c r="V46" s="4">
        <v>0</v>
      </c>
      <c r="W46" s="3">
        <f t="shared" si="38"/>
        <v>0</v>
      </c>
      <c r="X46" s="3">
        <f t="shared" si="31"/>
        <v>0</v>
      </c>
      <c r="Y46" s="7">
        <f t="shared" si="32"/>
        <v>0</v>
      </c>
      <c r="Z46" s="5">
        <f t="shared" si="33"/>
        <v>0</v>
      </c>
      <c r="AA46" s="7">
        <f t="shared" si="34"/>
        <v>0</v>
      </c>
      <c r="AB46" s="3">
        <f t="shared" si="22"/>
        <v>0</v>
      </c>
      <c r="AC46" s="3">
        <f t="shared" si="23"/>
        <v>0</v>
      </c>
      <c r="AD46" s="3">
        <f t="shared" si="24"/>
        <v>0</v>
      </c>
      <c r="AE46" s="3">
        <f t="shared" si="25"/>
        <v>0</v>
      </c>
      <c r="AF46" s="3">
        <f t="shared" si="26"/>
        <v>0</v>
      </c>
      <c r="AG46" s="3">
        <f t="shared" si="27"/>
        <v>0</v>
      </c>
      <c r="AH46" s="112">
        <f>'Gas Chemistry'!$B$11*$W46</f>
        <v>0</v>
      </c>
      <c r="AI46" s="112">
        <f>'Gas Chemistry'!$B$12*$W46</f>
        <v>0</v>
      </c>
      <c r="AJ46" s="112">
        <v>0</v>
      </c>
      <c r="AK46" s="112">
        <f>'Gas Chemistry'!$B$13*$W46</f>
        <v>0</v>
      </c>
      <c r="AL46" s="112">
        <f>'Gas Chemistry'!$B$14*$W46</f>
        <v>0</v>
      </c>
      <c r="AM46" s="112">
        <f>'Gas Chemistry'!$B$15*$W46</f>
        <v>0</v>
      </c>
      <c r="AN46" s="112">
        <f>'Gas Chemistry'!$B$16*$W46</f>
        <v>0</v>
      </c>
      <c r="AO46" s="112">
        <f>'Gas Chemistry'!$B$17*$W46</f>
        <v>0</v>
      </c>
      <c r="AP46" s="14">
        <f>H46*Constants!$C$14</f>
        <v>0</v>
      </c>
      <c r="AQ46" s="114">
        <f>'Gas Chemistry'!$C$122*$AP46</f>
        <v>0</v>
      </c>
      <c r="AR46" s="113">
        <f>'Gas Chemistry'!$C$123*$AP46</f>
        <v>0</v>
      </c>
      <c r="AS46" s="113">
        <f>'Gas Chemistry'!$C$127*$AP46</f>
        <v>0</v>
      </c>
      <c r="AT46" s="114">
        <f>'Gas Chemistry'!$C$124*$AP46</f>
        <v>0</v>
      </c>
      <c r="AU46" s="114">
        <f>'Gas Chemistry'!$C$126*$AP46</f>
        <v>0</v>
      </c>
      <c r="AV46" s="114">
        <f>'Gas Chemistry'!$C$125*$AP46</f>
        <v>0</v>
      </c>
      <c r="AW46" s="114">
        <v>0</v>
      </c>
      <c r="AX46" s="114">
        <v>0</v>
      </c>
    </row>
    <row r="47" spans="1:50" x14ac:dyDescent="0.3">
      <c r="A47" s="178">
        <v>45942</v>
      </c>
      <c r="B47" s="109">
        <v>0</v>
      </c>
      <c r="C47" s="158" cm="1">
        <f t="array" ref="C47">IF(B47=0, 0, B47 - INDEX(B$4:B46, MAX(IF(B$4:B46&lt;&gt;0, ROW(B$4:B46)-ROW(B$4)+1))))</f>
        <v>0</v>
      </c>
      <c r="D47" s="109">
        <v>0</v>
      </c>
      <c r="E47" s="109">
        <v>0</v>
      </c>
      <c r="F47" s="109">
        <v>0</v>
      </c>
      <c r="G47" s="158">
        <f t="shared" si="16"/>
        <v>0</v>
      </c>
      <c r="H47" s="158">
        <f t="shared" si="17"/>
        <v>0</v>
      </c>
      <c r="I47" s="109">
        <v>0</v>
      </c>
      <c r="J47" s="109">
        <v>0</v>
      </c>
      <c r="K47" s="158">
        <f t="shared" si="5"/>
        <v>0</v>
      </c>
      <c r="L47" s="16"/>
      <c r="M47" s="16"/>
      <c r="N47" s="4">
        <v>0</v>
      </c>
      <c r="O47" s="109">
        <v>0</v>
      </c>
      <c r="P47" s="137">
        <f t="shared" si="10"/>
        <v>0</v>
      </c>
      <c r="Q47" s="4">
        <v>0</v>
      </c>
      <c r="R47" s="177" cm="1">
        <f t="array" ref="R47">INDEX(FPLBillHistory_BilledPricePerKW_Range, MATCH(1, (A47&gt;=FPLBillHistory_BillFromDate_Range)*(A47&lt;=FPLBillHistory_BillToDate_Range), 0))</f>
        <v>0.13702267739575713</v>
      </c>
      <c r="S47" s="64">
        <f t="shared" si="35"/>
        <v>0</v>
      </c>
      <c r="T47" s="3">
        <f t="shared" si="36"/>
        <v>0</v>
      </c>
      <c r="U47" s="3">
        <f t="shared" si="37"/>
        <v>0</v>
      </c>
      <c r="V47" s="4">
        <v>0</v>
      </c>
      <c r="W47" s="3">
        <f t="shared" si="38"/>
        <v>0</v>
      </c>
      <c r="X47" s="3">
        <f t="shared" si="31"/>
        <v>0</v>
      </c>
      <c r="Y47" s="7">
        <f t="shared" si="32"/>
        <v>0</v>
      </c>
      <c r="Z47" s="5">
        <f t="shared" si="33"/>
        <v>0</v>
      </c>
      <c r="AA47" s="7">
        <f t="shared" si="34"/>
        <v>0</v>
      </c>
      <c r="AB47" s="3">
        <f t="shared" si="22"/>
        <v>0</v>
      </c>
      <c r="AC47" s="3">
        <f t="shared" si="23"/>
        <v>0</v>
      </c>
      <c r="AD47" s="3">
        <f t="shared" si="24"/>
        <v>0</v>
      </c>
      <c r="AE47" s="3">
        <f t="shared" si="25"/>
        <v>0</v>
      </c>
      <c r="AF47" s="3">
        <f t="shared" si="26"/>
        <v>0</v>
      </c>
      <c r="AG47" s="3">
        <f t="shared" si="27"/>
        <v>0</v>
      </c>
      <c r="AH47" s="112">
        <f>'Gas Chemistry'!$B$11*$W47</f>
        <v>0</v>
      </c>
      <c r="AI47" s="112">
        <f>'Gas Chemistry'!$B$12*$W47</f>
        <v>0</v>
      </c>
      <c r="AJ47" s="112">
        <v>0</v>
      </c>
      <c r="AK47" s="112">
        <f>'Gas Chemistry'!$B$13*$W47</f>
        <v>0</v>
      </c>
      <c r="AL47" s="112">
        <f>'Gas Chemistry'!$B$14*$W47</f>
        <v>0</v>
      </c>
      <c r="AM47" s="112">
        <f>'Gas Chemistry'!$B$15*$W47</f>
        <v>0</v>
      </c>
      <c r="AN47" s="112">
        <f>'Gas Chemistry'!$B$16*$W47</f>
        <v>0</v>
      </c>
      <c r="AO47" s="112">
        <f>'Gas Chemistry'!$B$17*$W47</f>
        <v>0</v>
      </c>
      <c r="AP47" s="14">
        <f>H47*Constants!$C$14</f>
        <v>0</v>
      </c>
      <c r="AQ47" s="114">
        <f>'Gas Chemistry'!$C$122*$AP47</f>
        <v>0</v>
      </c>
      <c r="AR47" s="113">
        <f>'Gas Chemistry'!$C$123*$AP47</f>
        <v>0</v>
      </c>
      <c r="AS47" s="113">
        <f>'Gas Chemistry'!$C$127*$AP47</f>
        <v>0</v>
      </c>
      <c r="AT47" s="114">
        <f>'Gas Chemistry'!$C$124*$AP47</f>
        <v>0</v>
      </c>
      <c r="AU47" s="114">
        <f>'Gas Chemistry'!$C$126*$AP47</f>
        <v>0</v>
      </c>
      <c r="AV47" s="114">
        <f>'Gas Chemistry'!$C$125*$AP47</f>
        <v>0</v>
      </c>
      <c r="AW47" s="114">
        <v>0</v>
      </c>
      <c r="AX47" s="114">
        <v>0</v>
      </c>
    </row>
    <row r="48" spans="1:50" x14ac:dyDescent="0.3">
      <c r="A48" s="178">
        <v>45943</v>
      </c>
      <c r="B48" s="109">
        <v>0</v>
      </c>
      <c r="C48" s="158" cm="1">
        <f t="array" ref="C48">IF(B48=0, 0, B48 - INDEX(B$4:B47, MAX(IF(B$4:B47&lt;&gt;0, ROW(B$4:B47)-ROW(B$4)+1))))</f>
        <v>0</v>
      </c>
      <c r="D48" s="109">
        <v>0</v>
      </c>
      <c r="E48" s="109">
        <v>0</v>
      </c>
      <c r="F48" s="109">
        <v>0</v>
      </c>
      <c r="G48" s="158">
        <f t="shared" si="16"/>
        <v>0</v>
      </c>
      <c r="H48" s="158">
        <f t="shared" si="17"/>
        <v>0</v>
      </c>
      <c r="I48" s="109">
        <v>0</v>
      </c>
      <c r="J48" s="109">
        <v>0</v>
      </c>
      <c r="K48" s="158">
        <f t="shared" si="5"/>
        <v>0</v>
      </c>
      <c r="L48" s="16"/>
      <c r="M48" s="16"/>
      <c r="N48" s="4">
        <v>0</v>
      </c>
      <c r="O48" s="109">
        <v>0</v>
      </c>
      <c r="P48" s="137">
        <f t="shared" si="10"/>
        <v>0</v>
      </c>
      <c r="Q48" s="4">
        <v>0</v>
      </c>
      <c r="R48" s="177" cm="1">
        <f t="array" ref="R48">INDEX(FPLBillHistory_BilledPricePerKW_Range, MATCH(1, (A48&gt;=FPLBillHistory_BillFromDate_Range)*(A48&lt;=FPLBillHistory_BillToDate_Range), 0))</f>
        <v>0.13702267739575713</v>
      </c>
      <c r="S48" s="64">
        <f t="shared" si="35"/>
        <v>0</v>
      </c>
      <c r="T48" s="3">
        <f t="shared" si="36"/>
        <v>0</v>
      </c>
      <c r="U48" s="3">
        <f t="shared" si="37"/>
        <v>0</v>
      </c>
      <c r="V48" s="4">
        <v>0</v>
      </c>
      <c r="W48" s="3">
        <f t="shared" si="38"/>
        <v>0</v>
      </c>
      <c r="X48" s="3">
        <f t="shared" si="31"/>
        <v>0</v>
      </c>
      <c r="Y48" s="7">
        <f t="shared" si="32"/>
        <v>0</v>
      </c>
      <c r="Z48" s="5">
        <f t="shared" si="33"/>
        <v>0</v>
      </c>
      <c r="AA48" s="7">
        <f t="shared" si="34"/>
        <v>0</v>
      </c>
      <c r="AB48" s="3">
        <f t="shared" si="22"/>
        <v>0</v>
      </c>
      <c r="AC48" s="3">
        <f t="shared" si="23"/>
        <v>0</v>
      </c>
      <c r="AD48" s="3">
        <f t="shared" si="24"/>
        <v>0</v>
      </c>
      <c r="AE48" s="3">
        <f t="shared" si="25"/>
        <v>0</v>
      </c>
      <c r="AF48" s="3">
        <f t="shared" si="26"/>
        <v>0</v>
      </c>
      <c r="AG48" s="3">
        <f t="shared" si="27"/>
        <v>0</v>
      </c>
      <c r="AH48" s="112">
        <f>'Gas Chemistry'!$B$11*$W48</f>
        <v>0</v>
      </c>
      <c r="AI48" s="112">
        <f>'Gas Chemistry'!$B$12*$W48</f>
        <v>0</v>
      </c>
      <c r="AJ48" s="112">
        <v>0</v>
      </c>
      <c r="AK48" s="112">
        <f>'Gas Chemistry'!$B$13*$W48</f>
        <v>0</v>
      </c>
      <c r="AL48" s="112">
        <f>'Gas Chemistry'!$B$14*$W48</f>
        <v>0</v>
      </c>
      <c r="AM48" s="112">
        <f>'Gas Chemistry'!$B$15*$W48</f>
        <v>0</v>
      </c>
      <c r="AN48" s="112">
        <f>'Gas Chemistry'!$B$16*$W48</f>
        <v>0</v>
      </c>
      <c r="AO48" s="112">
        <f>'Gas Chemistry'!$B$17*$W48</f>
        <v>0</v>
      </c>
      <c r="AP48" s="14">
        <f>H48*Constants!$C$14</f>
        <v>0</v>
      </c>
      <c r="AQ48" s="114">
        <f>'Gas Chemistry'!$C$122*$AP48</f>
        <v>0</v>
      </c>
      <c r="AR48" s="113">
        <f>'Gas Chemistry'!$C$123*$AP48</f>
        <v>0</v>
      </c>
      <c r="AS48" s="113">
        <f>'Gas Chemistry'!$C$127*$AP48</f>
        <v>0</v>
      </c>
      <c r="AT48" s="114">
        <f>'Gas Chemistry'!$C$124*$AP48</f>
        <v>0</v>
      </c>
      <c r="AU48" s="114">
        <f>'Gas Chemistry'!$C$126*$AP48</f>
        <v>0</v>
      </c>
      <c r="AV48" s="114">
        <f>'Gas Chemistry'!$C$125*$AP48</f>
        <v>0</v>
      </c>
      <c r="AW48" s="114">
        <v>0</v>
      </c>
      <c r="AX48" s="114">
        <v>0</v>
      </c>
    </row>
    <row r="49" spans="1:50" x14ac:dyDescent="0.3">
      <c r="A49" s="178">
        <v>45944</v>
      </c>
      <c r="B49" s="109">
        <v>1537</v>
      </c>
      <c r="C49" s="158" cm="1">
        <f t="array" ref="C49">IF(B49=0, 0, B49 - INDEX(B$4:B48, MAX(IF(B$4:B48&lt;&gt;0, ROW(B$4:B48)-ROW(B$4)+1))))</f>
        <v>38</v>
      </c>
      <c r="D49" s="109">
        <v>0</v>
      </c>
      <c r="E49" s="109">
        <v>0</v>
      </c>
      <c r="F49" s="109">
        <v>11</v>
      </c>
      <c r="G49" s="158">
        <f t="shared" si="16"/>
        <v>11</v>
      </c>
      <c r="H49" s="158">
        <f t="shared" si="17"/>
        <v>11</v>
      </c>
      <c r="I49" s="109">
        <v>66</v>
      </c>
      <c r="J49" s="109">
        <v>80</v>
      </c>
      <c r="K49" s="158">
        <f t="shared" si="5"/>
        <v>14</v>
      </c>
      <c r="L49" s="16">
        <v>4.1666666666666664E-2</v>
      </c>
      <c r="M49" s="16">
        <v>0.12777777777777777</v>
      </c>
      <c r="N49" s="4">
        <v>2</v>
      </c>
      <c r="O49" s="109">
        <v>280</v>
      </c>
      <c r="P49" s="137">
        <f t="shared" si="10"/>
        <v>3.4545454545454546</v>
      </c>
      <c r="Q49" s="4">
        <v>0.4</v>
      </c>
      <c r="R49" s="177" cm="1">
        <f t="array" ref="R49">INDEX(FPLBillHistory_BilledPricePerKW_Range, MATCH(1, (A49&gt;=FPLBillHistory_BillFromDate_Range)*(A49&lt;=FPLBillHistory_BillToDate_Range), 0))</f>
        <v>0.13702267739575713</v>
      </c>
      <c r="S49" s="64">
        <f t="shared" si="35"/>
        <v>0</v>
      </c>
      <c r="T49" s="3">
        <f t="shared" si="36"/>
        <v>1.5072494513533283</v>
      </c>
      <c r="U49" s="3">
        <f t="shared" si="37"/>
        <v>1.5072494513533283</v>
      </c>
      <c r="V49" s="4">
        <v>2.7</v>
      </c>
      <c r="W49" s="3">
        <f t="shared" si="38"/>
        <v>1.52</v>
      </c>
      <c r="X49" s="3">
        <f t="shared" si="31"/>
        <v>4.1040000000000001</v>
      </c>
      <c r="Y49" s="7">
        <f t="shared" si="32"/>
        <v>2.5967505486466718</v>
      </c>
      <c r="Z49" s="5">
        <f t="shared" si="33"/>
        <v>0.63273648846166464</v>
      </c>
      <c r="AA49" s="7">
        <f t="shared" si="34"/>
        <v>2.892750548646672</v>
      </c>
      <c r="AB49" s="3">
        <f t="shared" si="22"/>
        <v>4.4000000000000004</v>
      </c>
      <c r="AC49" s="3">
        <f t="shared" si="23"/>
        <v>4.1040000000000001</v>
      </c>
      <c r="AD49" s="3">
        <f t="shared" si="24"/>
        <v>1.5072494513533283</v>
      </c>
      <c r="AE49" s="3">
        <f t="shared" si="25"/>
        <v>-0.29600000000000026</v>
      </c>
      <c r="AF49" s="3">
        <f t="shared" si="26"/>
        <v>2.5967505486466718</v>
      </c>
      <c r="AG49" s="3">
        <f t="shared" si="27"/>
        <v>2.892750548646672</v>
      </c>
      <c r="AH49" s="112">
        <f>'Gas Chemistry'!$B$11*$W49</f>
        <v>29.792000000000002</v>
      </c>
      <c r="AI49" s="112">
        <f>'Gas Chemistry'!$B$12*$W49</f>
        <v>12.16</v>
      </c>
      <c r="AJ49" s="112">
        <v>0</v>
      </c>
      <c r="AK49" s="112">
        <f>'Gas Chemistry'!$B$13*$W49</f>
        <v>3.04E-2</v>
      </c>
      <c r="AL49" s="112">
        <f>'Gas Chemistry'!$B$14*$W49</f>
        <v>1.52E-2</v>
      </c>
      <c r="AM49" s="112">
        <f>'Gas Chemistry'!$B$15*$W49</f>
        <v>3.0400000000000002E-3</v>
      </c>
      <c r="AN49" s="112">
        <f>'Gas Chemistry'!$B$16*$W49</f>
        <v>1.5200000000000001E-3</v>
      </c>
      <c r="AO49" s="112">
        <f>'Gas Chemistry'!$B$17*$W49</f>
        <v>6.0800000000000003E-3</v>
      </c>
      <c r="AP49" s="14">
        <f>H49*Constants!$C$14</f>
        <v>37.531999999999996</v>
      </c>
      <c r="AQ49" s="114">
        <f>'Gas Chemistry'!$C$122*$AP49</f>
        <v>4.3912439999999995</v>
      </c>
      <c r="AR49" s="113">
        <f>'Gas Chemistry'!$C$123*$AP49</f>
        <v>5.4046079999999987</v>
      </c>
      <c r="AS49" s="113">
        <f>'Gas Chemistry'!$C$127*$AP49</f>
        <v>176.40039999999999</v>
      </c>
      <c r="AT49" s="114">
        <f>'Gas Chemistry'!$C$124*$AP49</f>
        <v>3.1526879999999994E-3</v>
      </c>
      <c r="AU49" s="114">
        <f>'Gas Chemistry'!$C$126*$AP49</f>
        <v>3.7531999999999999E-3</v>
      </c>
      <c r="AV49" s="114">
        <f>'Gas Chemistry'!$C$125*$AP49</f>
        <v>1.8766E-4</v>
      </c>
      <c r="AW49" s="114">
        <v>0</v>
      </c>
      <c r="AX49" s="114">
        <v>0</v>
      </c>
    </row>
    <row r="50" spans="1:50" x14ac:dyDescent="0.3">
      <c r="A50" s="178">
        <v>45945</v>
      </c>
      <c r="B50" s="109">
        <v>0</v>
      </c>
      <c r="C50" s="158" cm="1">
        <f t="array" ref="C50">IF(B50=0, 0, B50 - INDEX(B$4:B49, MAX(IF(B$4:B49&lt;&gt;0, ROW(B$4:B49)-ROW(B$4)+1))))</f>
        <v>0</v>
      </c>
      <c r="D50" s="109">
        <v>0</v>
      </c>
      <c r="E50" s="109">
        <v>0</v>
      </c>
      <c r="F50" s="109">
        <v>0</v>
      </c>
      <c r="G50" s="158">
        <f t="shared" si="16"/>
        <v>0</v>
      </c>
      <c r="H50" s="158">
        <f t="shared" si="17"/>
        <v>0</v>
      </c>
      <c r="I50" s="109">
        <v>0</v>
      </c>
      <c r="J50" s="109">
        <v>0</v>
      </c>
      <c r="K50" s="158">
        <f t="shared" si="5"/>
        <v>0</v>
      </c>
      <c r="L50" s="16"/>
      <c r="M50" s="16"/>
      <c r="N50" s="4">
        <v>0</v>
      </c>
      <c r="O50" s="109">
        <v>0</v>
      </c>
      <c r="P50" s="137">
        <f t="shared" si="10"/>
        <v>0</v>
      </c>
      <c r="Q50" s="4">
        <v>0</v>
      </c>
      <c r="R50" s="177" cm="1">
        <f t="array" ref="R50">INDEX(FPLBillHistory_BilledPricePerKW_Range, MATCH(1, (A50&gt;=FPLBillHistory_BillFromDate_Range)*(A50&lt;=FPLBillHistory_BillToDate_Range), 0))</f>
        <v>0.13702267739575713</v>
      </c>
      <c r="S50" s="64">
        <f t="shared" si="35"/>
        <v>0</v>
      </c>
      <c r="T50" s="3">
        <f t="shared" si="36"/>
        <v>0</v>
      </c>
      <c r="U50" s="3">
        <f t="shared" si="37"/>
        <v>0</v>
      </c>
      <c r="V50" s="4">
        <v>0</v>
      </c>
      <c r="W50" s="3">
        <f t="shared" si="38"/>
        <v>0</v>
      </c>
      <c r="X50" s="3">
        <f t="shared" si="31"/>
        <v>0</v>
      </c>
      <c r="Y50" s="7">
        <f t="shared" si="32"/>
        <v>0</v>
      </c>
      <c r="Z50" s="5">
        <f t="shared" si="33"/>
        <v>0</v>
      </c>
      <c r="AA50" s="7">
        <f t="shared" si="34"/>
        <v>0</v>
      </c>
      <c r="AB50" s="3">
        <f t="shared" si="22"/>
        <v>0</v>
      </c>
      <c r="AC50" s="3">
        <f t="shared" si="23"/>
        <v>0</v>
      </c>
      <c r="AD50" s="3">
        <f t="shared" si="24"/>
        <v>0</v>
      </c>
      <c r="AE50" s="3">
        <f t="shared" si="25"/>
        <v>0</v>
      </c>
      <c r="AF50" s="3">
        <f t="shared" si="26"/>
        <v>0</v>
      </c>
      <c r="AG50" s="3">
        <f t="shared" si="27"/>
        <v>0</v>
      </c>
      <c r="AH50" s="112">
        <f>'Gas Chemistry'!$B$11*$W50</f>
        <v>0</v>
      </c>
      <c r="AI50" s="112">
        <f>'Gas Chemistry'!$B$12*$W50</f>
        <v>0</v>
      </c>
      <c r="AJ50" s="112">
        <v>0</v>
      </c>
      <c r="AK50" s="112">
        <f>'Gas Chemistry'!$B$13*$W50</f>
        <v>0</v>
      </c>
      <c r="AL50" s="112">
        <f>'Gas Chemistry'!$B$14*$W50</f>
        <v>0</v>
      </c>
      <c r="AM50" s="112">
        <f>'Gas Chemistry'!$B$15*$W50</f>
        <v>0</v>
      </c>
      <c r="AN50" s="112">
        <f>'Gas Chemistry'!$B$16*$W50</f>
        <v>0</v>
      </c>
      <c r="AO50" s="112">
        <f>'Gas Chemistry'!$B$17*$W50</f>
        <v>0</v>
      </c>
      <c r="AP50" s="14">
        <f>H50*Constants!$C$14</f>
        <v>0</v>
      </c>
      <c r="AQ50" s="114">
        <f>'Gas Chemistry'!$C$122*$AP50</f>
        <v>0</v>
      </c>
      <c r="AR50" s="113">
        <f>'Gas Chemistry'!$C$123*$AP50</f>
        <v>0</v>
      </c>
      <c r="AS50" s="113">
        <f>'Gas Chemistry'!$C$127*$AP50</f>
        <v>0</v>
      </c>
      <c r="AT50" s="114">
        <f>'Gas Chemistry'!$C$124*$AP50</f>
        <v>0</v>
      </c>
      <c r="AU50" s="114">
        <f>'Gas Chemistry'!$C$126*$AP50</f>
        <v>0</v>
      </c>
      <c r="AV50" s="114">
        <f>'Gas Chemistry'!$C$125*$AP50</f>
        <v>0</v>
      </c>
      <c r="AW50" s="114">
        <v>0</v>
      </c>
      <c r="AX50" s="114">
        <v>0</v>
      </c>
    </row>
    <row r="51" spans="1:50" x14ac:dyDescent="0.3">
      <c r="A51" s="178">
        <v>45946</v>
      </c>
      <c r="B51" s="109">
        <v>0</v>
      </c>
      <c r="C51" s="158" cm="1">
        <f t="array" ref="C51">IF(B51=0, 0, B51 - INDEX(B$4:B50, MAX(IF(B$4:B50&lt;&gt;0, ROW(B$4:B50)-ROW(B$4)+1))))</f>
        <v>0</v>
      </c>
      <c r="D51" s="109">
        <v>0</v>
      </c>
      <c r="E51" s="109">
        <v>0</v>
      </c>
      <c r="F51" s="109">
        <v>0</v>
      </c>
      <c r="G51" s="158">
        <f t="shared" si="16"/>
        <v>0</v>
      </c>
      <c r="H51" s="158">
        <f t="shared" si="17"/>
        <v>0</v>
      </c>
      <c r="I51" s="109">
        <v>0</v>
      </c>
      <c r="J51" s="109">
        <v>0</v>
      </c>
      <c r="K51" s="158">
        <f t="shared" si="5"/>
        <v>0</v>
      </c>
      <c r="L51" s="16"/>
      <c r="M51" s="16"/>
      <c r="N51" s="4">
        <v>0</v>
      </c>
      <c r="O51" s="109">
        <v>0</v>
      </c>
      <c r="P51" s="137">
        <f t="shared" si="10"/>
        <v>0</v>
      </c>
      <c r="Q51" s="4">
        <v>0</v>
      </c>
      <c r="R51" s="177" cm="1">
        <f t="array" ref="R51">INDEX(FPLBillHistory_BilledPricePerKW_Range, MATCH(1, (A51&gt;=FPLBillHistory_BillFromDate_Range)*(A51&lt;=FPLBillHistory_BillToDate_Range), 0))</f>
        <v>0.13702267739575713</v>
      </c>
      <c r="S51" s="64">
        <f t="shared" si="35"/>
        <v>0</v>
      </c>
      <c r="T51" s="3">
        <f t="shared" si="36"/>
        <v>0</v>
      </c>
      <c r="U51" s="3">
        <f t="shared" si="37"/>
        <v>0</v>
      </c>
      <c r="V51" s="4">
        <v>0</v>
      </c>
      <c r="W51" s="3">
        <f t="shared" si="38"/>
        <v>0</v>
      </c>
      <c r="X51" s="3">
        <f t="shared" si="31"/>
        <v>0</v>
      </c>
      <c r="Y51" s="7">
        <f t="shared" si="32"/>
        <v>0</v>
      </c>
      <c r="Z51" s="5">
        <f t="shared" si="33"/>
        <v>0</v>
      </c>
      <c r="AA51" s="7">
        <f t="shared" si="34"/>
        <v>0</v>
      </c>
      <c r="AB51" s="3">
        <f t="shared" si="22"/>
        <v>0</v>
      </c>
      <c r="AC51" s="3">
        <f t="shared" si="23"/>
        <v>0</v>
      </c>
      <c r="AD51" s="3">
        <f t="shared" si="24"/>
        <v>0</v>
      </c>
      <c r="AE51" s="3">
        <f t="shared" si="25"/>
        <v>0</v>
      </c>
      <c r="AF51" s="3">
        <f t="shared" si="26"/>
        <v>0</v>
      </c>
      <c r="AG51" s="3">
        <f t="shared" si="27"/>
        <v>0</v>
      </c>
      <c r="AH51" s="112">
        <f>'Gas Chemistry'!$B$11*$W51</f>
        <v>0</v>
      </c>
      <c r="AI51" s="112">
        <f>'Gas Chemistry'!$B$12*$W51</f>
        <v>0</v>
      </c>
      <c r="AJ51" s="112">
        <v>0</v>
      </c>
      <c r="AK51" s="112">
        <f>'Gas Chemistry'!$B$13*$W51</f>
        <v>0</v>
      </c>
      <c r="AL51" s="112">
        <f>'Gas Chemistry'!$B$14*$W51</f>
        <v>0</v>
      </c>
      <c r="AM51" s="112">
        <f>'Gas Chemistry'!$B$15*$W51</f>
        <v>0</v>
      </c>
      <c r="AN51" s="112">
        <f>'Gas Chemistry'!$B$16*$W51</f>
        <v>0</v>
      </c>
      <c r="AO51" s="112">
        <f>'Gas Chemistry'!$B$17*$W51</f>
        <v>0</v>
      </c>
      <c r="AP51" s="14">
        <f>H51*Constants!$C$14</f>
        <v>0</v>
      </c>
      <c r="AQ51" s="114">
        <f>'Gas Chemistry'!$C$122*$AP51</f>
        <v>0</v>
      </c>
      <c r="AR51" s="113">
        <f>'Gas Chemistry'!$C$123*$AP51</f>
        <v>0</v>
      </c>
      <c r="AS51" s="113">
        <f>'Gas Chemistry'!$C$127*$AP51</f>
        <v>0</v>
      </c>
      <c r="AT51" s="114">
        <f>'Gas Chemistry'!$C$124*$AP51</f>
        <v>0</v>
      </c>
      <c r="AU51" s="114">
        <f>'Gas Chemistry'!$C$126*$AP51</f>
        <v>0</v>
      </c>
      <c r="AV51" s="114">
        <f>'Gas Chemistry'!$C$125*$AP51</f>
        <v>0</v>
      </c>
      <c r="AW51" s="114">
        <v>0</v>
      </c>
      <c r="AX51" s="114">
        <v>0</v>
      </c>
    </row>
    <row r="52" spans="1:50" x14ac:dyDescent="0.3">
      <c r="A52" s="178">
        <v>45947</v>
      </c>
      <c r="B52" s="109">
        <v>1637</v>
      </c>
      <c r="C52" s="158" cm="1">
        <f t="array" ref="C52">IF(B52=0, 0, B52 - INDEX(B$4:B51, MAX(IF(B$4:B51&lt;&gt;0, ROW(B$4:B51)-ROW(B$4)+1))))</f>
        <v>100</v>
      </c>
      <c r="D52" s="109">
        <v>0</v>
      </c>
      <c r="E52" s="109">
        <v>0</v>
      </c>
      <c r="F52" s="109">
        <v>23</v>
      </c>
      <c r="G52" s="158">
        <f t="shared" si="16"/>
        <v>23</v>
      </c>
      <c r="H52" s="158">
        <f t="shared" si="17"/>
        <v>23</v>
      </c>
      <c r="I52" s="109">
        <v>50</v>
      </c>
      <c r="J52" s="109">
        <v>80</v>
      </c>
      <c r="K52" s="158">
        <f t="shared" si="5"/>
        <v>30</v>
      </c>
      <c r="L52" s="16">
        <v>4.1666666666666664E-2</v>
      </c>
      <c r="M52" s="16">
        <v>0.22222222222222221</v>
      </c>
      <c r="N52" s="4">
        <v>4.25</v>
      </c>
      <c r="O52" s="109">
        <v>279</v>
      </c>
      <c r="P52" s="137">
        <f t="shared" si="10"/>
        <v>4.3478260869565215</v>
      </c>
      <c r="Q52" s="4">
        <v>0.4</v>
      </c>
      <c r="R52" s="177" cm="1">
        <f t="array" ref="R52">INDEX(FPLBillHistory_BilledPricePerKW_Range, MATCH(1, (A52&gt;=FPLBillHistory_BillFromDate_Range)*(A52&lt;=FPLBillHistory_BillToDate_Range), 0))</f>
        <v>0.13702267739575713</v>
      </c>
      <c r="S52" s="64">
        <f t="shared" si="35"/>
        <v>0</v>
      </c>
      <c r="T52" s="3">
        <f t="shared" si="36"/>
        <v>3.1515215801024139</v>
      </c>
      <c r="U52" s="3">
        <f t="shared" si="37"/>
        <v>3.1515215801024139</v>
      </c>
      <c r="V52" s="4">
        <v>2.7</v>
      </c>
      <c r="W52" s="3">
        <f t="shared" si="38"/>
        <v>4</v>
      </c>
      <c r="X52" s="3">
        <f t="shared" si="31"/>
        <v>10.8</v>
      </c>
      <c r="Y52" s="7">
        <f t="shared" si="32"/>
        <v>7.6484784198975868</v>
      </c>
      <c r="Z52" s="5">
        <f t="shared" si="33"/>
        <v>0.70819244628681355</v>
      </c>
      <c r="AA52" s="7">
        <f t="shared" si="34"/>
        <v>6.0484784198975872</v>
      </c>
      <c r="AB52" s="3">
        <f t="shared" si="22"/>
        <v>9.2000000000000011</v>
      </c>
      <c r="AC52" s="3">
        <f t="shared" si="23"/>
        <v>10.8</v>
      </c>
      <c r="AD52" s="3">
        <f t="shared" si="24"/>
        <v>3.1515215801024139</v>
      </c>
      <c r="AE52" s="3">
        <f t="shared" si="25"/>
        <v>1.5999999999999996</v>
      </c>
      <c r="AF52" s="3">
        <f t="shared" si="26"/>
        <v>7.6484784198975868</v>
      </c>
      <c r="AG52" s="3">
        <f t="shared" si="27"/>
        <v>6.0484784198975872</v>
      </c>
      <c r="AH52" s="112">
        <f>'Gas Chemistry'!$B$11*$W52</f>
        <v>78.400000000000006</v>
      </c>
      <c r="AI52" s="112">
        <f>'Gas Chemistry'!$B$12*$W52</f>
        <v>32</v>
      </c>
      <c r="AJ52" s="112">
        <v>0</v>
      </c>
      <c r="AK52" s="112">
        <f>'Gas Chemistry'!$B$13*$W52</f>
        <v>0.08</v>
      </c>
      <c r="AL52" s="112">
        <f>'Gas Chemistry'!$B$14*$W52</f>
        <v>0.04</v>
      </c>
      <c r="AM52" s="112">
        <f>'Gas Chemistry'!$B$15*$W52</f>
        <v>8.0000000000000002E-3</v>
      </c>
      <c r="AN52" s="112">
        <f>'Gas Chemistry'!$B$16*$W52</f>
        <v>4.0000000000000001E-3</v>
      </c>
      <c r="AO52" s="112">
        <f>'Gas Chemistry'!$B$17*$W52</f>
        <v>1.6E-2</v>
      </c>
      <c r="AP52" s="14">
        <f>H52*Constants!$C$14</f>
        <v>78.475999999999999</v>
      </c>
      <c r="AQ52" s="114">
        <f>'Gas Chemistry'!$C$122*$AP52</f>
        <v>9.181692</v>
      </c>
      <c r="AR52" s="113">
        <f>'Gas Chemistry'!$C$123*$AP52</f>
        <v>11.300543999999999</v>
      </c>
      <c r="AS52" s="113">
        <f>'Gas Chemistry'!$C$127*$AP52</f>
        <v>368.8372</v>
      </c>
      <c r="AT52" s="114">
        <f>'Gas Chemistry'!$C$124*$AP52</f>
        <v>6.5919839999999995E-3</v>
      </c>
      <c r="AU52" s="114">
        <f>'Gas Chemistry'!$C$126*$AP52</f>
        <v>7.8475999999999997E-3</v>
      </c>
      <c r="AV52" s="114">
        <f>'Gas Chemistry'!$C$125*$AP52</f>
        <v>3.9238000000000001E-4</v>
      </c>
      <c r="AW52" s="114">
        <v>0</v>
      </c>
      <c r="AX52" s="114">
        <v>0</v>
      </c>
    </row>
    <row r="53" spans="1:50" x14ac:dyDescent="0.3">
      <c r="A53" s="178">
        <v>45948</v>
      </c>
      <c r="B53" s="109">
        <v>1655</v>
      </c>
      <c r="C53" s="158" cm="1">
        <f t="array" ref="C53">IF(B53=0, 0, B53 - INDEX(B$4:B52, MAX(IF(B$4:B52&lt;&gt;0, ROW(B$4:B52)-ROW(B$4)+1))))</f>
        <v>18</v>
      </c>
      <c r="D53" s="109">
        <v>0</v>
      </c>
      <c r="E53" s="109">
        <v>0</v>
      </c>
      <c r="F53" s="109">
        <v>7</v>
      </c>
      <c r="G53" s="158">
        <f t="shared" si="16"/>
        <v>7</v>
      </c>
      <c r="H53" s="158">
        <f t="shared" si="17"/>
        <v>7</v>
      </c>
      <c r="I53" s="109">
        <v>71</v>
      </c>
      <c r="J53" s="109">
        <v>80</v>
      </c>
      <c r="K53" s="158">
        <f t="shared" si="5"/>
        <v>9</v>
      </c>
      <c r="L53" s="16">
        <v>4.1666666666666664E-2</v>
      </c>
      <c r="M53" s="16">
        <v>9.4444444444444442E-2</v>
      </c>
      <c r="N53" s="4">
        <v>1.25</v>
      </c>
      <c r="O53" s="109">
        <v>279</v>
      </c>
      <c r="P53" s="137">
        <f t="shared" si="10"/>
        <v>2.5714285714285716</v>
      </c>
      <c r="Q53" s="4">
        <v>0.4</v>
      </c>
      <c r="R53" s="177" cm="1">
        <f t="array" ref="R53">INDEX(FPLBillHistory_BilledPricePerKW_Range, MATCH(1, (A53&gt;=FPLBillHistory_BillFromDate_Range)*(A53&lt;=FPLBillHistory_BillToDate_Range), 0))</f>
        <v>0.13702267739575713</v>
      </c>
      <c r="S53" s="64">
        <f t="shared" si="35"/>
        <v>0</v>
      </c>
      <c r="T53" s="3">
        <f t="shared" si="36"/>
        <v>0.95915874177029992</v>
      </c>
      <c r="U53" s="3">
        <f t="shared" si="37"/>
        <v>0.95915874177029992</v>
      </c>
      <c r="V53" s="4">
        <v>2.7</v>
      </c>
      <c r="W53" s="3">
        <f t="shared" si="38"/>
        <v>0.72</v>
      </c>
      <c r="X53" s="3">
        <f t="shared" si="31"/>
        <v>1.944</v>
      </c>
      <c r="Y53" s="7">
        <f t="shared" si="32"/>
        <v>0.98484125822970003</v>
      </c>
      <c r="Z53" s="5">
        <f t="shared" si="33"/>
        <v>0.50660558550910495</v>
      </c>
      <c r="AA53" s="7">
        <f t="shared" si="34"/>
        <v>1.8408412582297005</v>
      </c>
      <c r="AB53" s="3">
        <f t="shared" si="22"/>
        <v>2.8000000000000003</v>
      </c>
      <c r="AC53" s="3">
        <f t="shared" si="23"/>
        <v>1.944</v>
      </c>
      <c r="AD53" s="3">
        <f t="shared" si="24"/>
        <v>0.95915874177029992</v>
      </c>
      <c r="AE53" s="3">
        <f t="shared" si="25"/>
        <v>-0.85600000000000032</v>
      </c>
      <c r="AF53" s="3">
        <f t="shared" si="26"/>
        <v>0.98484125822970003</v>
      </c>
      <c r="AG53" s="3">
        <f t="shared" si="27"/>
        <v>1.8408412582297005</v>
      </c>
      <c r="AH53" s="112">
        <f>'Gas Chemistry'!$B$11*$W53</f>
        <v>14.112</v>
      </c>
      <c r="AI53" s="112">
        <f>'Gas Chemistry'!$B$12*$W53</f>
        <v>5.76</v>
      </c>
      <c r="AJ53" s="112">
        <v>0</v>
      </c>
      <c r="AK53" s="112">
        <f>'Gas Chemistry'!$B$13*$W53</f>
        <v>1.44E-2</v>
      </c>
      <c r="AL53" s="112">
        <f>'Gas Chemistry'!$B$14*$W53</f>
        <v>7.1999999999999998E-3</v>
      </c>
      <c r="AM53" s="112">
        <f>'Gas Chemistry'!$B$15*$W53</f>
        <v>1.4399999999999999E-3</v>
      </c>
      <c r="AN53" s="112">
        <f>'Gas Chemistry'!$B$16*$W53</f>
        <v>7.1999999999999994E-4</v>
      </c>
      <c r="AO53" s="112">
        <f>'Gas Chemistry'!$B$17*$W53</f>
        <v>2.8799999999999997E-3</v>
      </c>
      <c r="AP53" s="14">
        <f>H53*Constants!$C$14</f>
        <v>23.884</v>
      </c>
      <c r="AQ53" s="114">
        <f>'Gas Chemistry'!$C$122*$AP53</f>
        <v>2.7944280000000004</v>
      </c>
      <c r="AR53" s="113">
        <f>'Gas Chemistry'!$C$123*$AP53</f>
        <v>3.4392959999999997</v>
      </c>
      <c r="AS53" s="113">
        <f>'Gas Chemistry'!$C$127*$AP53</f>
        <v>112.2548</v>
      </c>
      <c r="AT53" s="114">
        <f>'Gas Chemistry'!$C$124*$AP53</f>
        <v>2.0062560000000001E-3</v>
      </c>
      <c r="AU53" s="114">
        <f>'Gas Chemistry'!$C$126*$AP53</f>
        <v>2.3884000000000002E-3</v>
      </c>
      <c r="AV53" s="114">
        <f>'Gas Chemistry'!$C$125*$AP53</f>
        <v>1.1942000000000001E-4</v>
      </c>
      <c r="AW53" s="114">
        <v>0</v>
      </c>
      <c r="AX53" s="114">
        <v>0</v>
      </c>
    </row>
    <row r="54" spans="1:50" x14ac:dyDescent="0.3">
      <c r="A54" s="178">
        <v>45949</v>
      </c>
      <c r="B54" s="109">
        <v>1711</v>
      </c>
      <c r="C54" s="158" cm="1">
        <f t="array" ref="C54">IF(B54=0, 0, B54 - INDEX(B$4:B53, MAX(IF(B$4:B53&lt;&gt;0, ROW(B$4:B53)-ROW(B$4)+1))))</f>
        <v>56</v>
      </c>
      <c r="D54" s="109">
        <v>0</v>
      </c>
      <c r="E54" s="109">
        <v>0</v>
      </c>
      <c r="F54" s="109">
        <v>15</v>
      </c>
      <c r="G54" s="158">
        <f t="shared" si="16"/>
        <v>15</v>
      </c>
      <c r="H54" s="158">
        <f t="shared" si="17"/>
        <v>15</v>
      </c>
      <c r="I54" s="109">
        <v>61</v>
      </c>
      <c r="J54" s="109">
        <v>80</v>
      </c>
      <c r="K54" s="158">
        <f t="shared" si="5"/>
        <v>19</v>
      </c>
      <c r="L54" s="16">
        <v>4.1666666666666664E-2</v>
      </c>
      <c r="M54" s="16">
        <v>0.15833333333333333</v>
      </c>
      <c r="N54" s="4">
        <v>2.75</v>
      </c>
      <c r="O54" s="109">
        <v>279</v>
      </c>
      <c r="P54" s="137">
        <f t="shared" si="10"/>
        <v>3.7333333333333334</v>
      </c>
      <c r="Q54" s="4">
        <v>0.4</v>
      </c>
      <c r="R54" s="177" cm="1">
        <f t="array" ref="R54">INDEX(FPLBillHistory_BilledPricePerKW_Range, MATCH(1, (A54&gt;=FPLBillHistory_BillFromDate_Range)*(A54&lt;=FPLBillHistory_BillToDate_Range), 0))</f>
        <v>0.13702267739575713</v>
      </c>
      <c r="S54" s="64">
        <f t="shared" si="35"/>
        <v>0</v>
      </c>
      <c r="T54" s="3">
        <f t="shared" si="36"/>
        <v>2.0553401609363569</v>
      </c>
      <c r="U54" s="3">
        <f t="shared" si="37"/>
        <v>2.0553401609363569</v>
      </c>
      <c r="V54" s="4">
        <v>2.7</v>
      </c>
      <c r="W54" s="3">
        <f t="shared" si="38"/>
        <v>2.2400000000000002</v>
      </c>
      <c r="X54" s="3">
        <f t="shared" si="31"/>
        <v>6.0480000000000009</v>
      </c>
      <c r="Y54" s="7">
        <f t="shared" si="32"/>
        <v>3.9926598390636441</v>
      </c>
      <c r="Z54" s="5">
        <f t="shared" si="33"/>
        <v>0.66016201042718969</v>
      </c>
      <c r="AA54" s="7">
        <f t="shared" si="34"/>
        <v>3.9446598390636431</v>
      </c>
      <c r="AB54" s="3">
        <f t="shared" si="22"/>
        <v>6</v>
      </c>
      <c r="AC54" s="3">
        <f t="shared" si="23"/>
        <v>6.0480000000000009</v>
      </c>
      <c r="AD54" s="3">
        <f t="shared" si="24"/>
        <v>2.0553401609363569</v>
      </c>
      <c r="AE54" s="3">
        <f t="shared" si="25"/>
        <v>4.8000000000000931E-2</v>
      </c>
      <c r="AF54" s="3">
        <f t="shared" si="26"/>
        <v>3.9926598390636441</v>
      </c>
      <c r="AG54" s="3">
        <f t="shared" si="27"/>
        <v>3.9446598390636431</v>
      </c>
      <c r="AH54" s="112">
        <f>'Gas Chemistry'!$B$11*$W54</f>
        <v>43.904000000000011</v>
      </c>
      <c r="AI54" s="112">
        <f>'Gas Chemistry'!$B$12*$W54</f>
        <v>17.920000000000002</v>
      </c>
      <c r="AJ54" s="112">
        <v>0</v>
      </c>
      <c r="AK54" s="112">
        <f>'Gas Chemistry'!$B$13*$W54</f>
        <v>4.4800000000000006E-2</v>
      </c>
      <c r="AL54" s="112">
        <f>'Gas Chemistry'!$B$14*$W54</f>
        <v>2.2400000000000003E-2</v>
      </c>
      <c r="AM54" s="112">
        <f>'Gas Chemistry'!$B$15*$W54</f>
        <v>4.4800000000000005E-3</v>
      </c>
      <c r="AN54" s="112">
        <f>'Gas Chemistry'!$B$16*$W54</f>
        <v>2.2400000000000002E-3</v>
      </c>
      <c r="AO54" s="112">
        <f>'Gas Chemistry'!$B$17*$W54</f>
        <v>8.9600000000000009E-3</v>
      </c>
      <c r="AP54" s="14">
        <f>H54*Constants!$C$14</f>
        <v>51.18</v>
      </c>
      <c r="AQ54" s="114">
        <f>'Gas Chemistry'!$C$122*$AP54</f>
        <v>5.9880599999999999</v>
      </c>
      <c r="AR54" s="113">
        <f>'Gas Chemistry'!$C$123*$AP54</f>
        <v>7.3699199999999996</v>
      </c>
      <c r="AS54" s="113">
        <f>'Gas Chemistry'!$C$127*$AP54</f>
        <v>240.54600000000002</v>
      </c>
      <c r="AT54" s="114">
        <f>'Gas Chemistry'!$C$124*$AP54</f>
        <v>4.29912E-3</v>
      </c>
      <c r="AU54" s="114">
        <f>'Gas Chemistry'!$C$126*$AP54</f>
        <v>5.1180000000000002E-3</v>
      </c>
      <c r="AV54" s="114">
        <f>'Gas Chemistry'!$C$125*$AP54</f>
        <v>2.5590000000000004E-4</v>
      </c>
      <c r="AW54" s="114">
        <v>0</v>
      </c>
      <c r="AX54" s="114">
        <v>0</v>
      </c>
    </row>
    <row r="55" spans="1:50" x14ac:dyDescent="0.3">
      <c r="A55" s="178">
        <v>45950</v>
      </c>
      <c r="B55" s="109">
        <v>0</v>
      </c>
      <c r="C55" s="158" cm="1">
        <f t="array" ref="C55">IF(B55=0, 0, B55 - INDEX(B$4:B54, MAX(IF(B$4:B54&lt;&gt;0, ROW(B$4:B54)-ROW(B$4)+1))))</f>
        <v>0</v>
      </c>
      <c r="D55" s="109">
        <v>0</v>
      </c>
      <c r="E55" s="109">
        <v>0</v>
      </c>
      <c r="F55" s="109">
        <v>0</v>
      </c>
      <c r="G55" s="158">
        <f t="shared" si="16"/>
        <v>0</v>
      </c>
      <c r="H55" s="158">
        <f t="shared" si="17"/>
        <v>0</v>
      </c>
      <c r="I55" s="109">
        <v>0</v>
      </c>
      <c r="J55" s="109">
        <v>0</v>
      </c>
      <c r="K55" s="158">
        <f t="shared" si="5"/>
        <v>0</v>
      </c>
      <c r="L55" s="16"/>
      <c r="M55" s="16"/>
      <c r="N55" s="4">
        <v>0</v>
      </c>
      <c r="O55" s="109">
        <v>0</v>
      </c>
      <c r="P55" s="137">
        <f t="shared" si="10"/>
        <v>0</v>
      </c>
      <c r="Q55" s="4">
        <v>0</v>
      </c>
      <c r="R55" s="177" cm="1">
        <f t="array" ref="R55">INDEX(FPLBillHistory_BilledPricePerKW_Range, MATCH(1, (A55&gt;=FPLBillHistory_BillFromDate_Range)*(A55&lt;=FPLBillHistory_BillToDate_Range), 0))</f>
        <v>0.13702267739575713</v>
      </c>
      <c r="S55" s="64">
        <f t="shared" si="35"/>
        <v>0</v>
      </c>
      <c r="T55" s="3">
        <f t="shared" si="36"/>
        <v>0</v>
      </c>
      <c r="U55" s="3">
        <f t="shared" si="37"/>
        <v>0</v>
      </c>
      <c r="V55" s="4">
        <v>0</v>
      </c>
      <c r="W55" s="3">
        <f t="shared" si="38"/>
        <v>0</v>
      </c>
      <c r="X55" s="3">
        <f t="shared" si="31"/>
        <v>0</v>
      </c>
      <c r="Y55" s="7">
        <f t="shared" si="32"/>
        <v>0</v>
      </c>
      <c r="Z55" s="5">
        <f t="shared" si="33"/>
        <v>0</v>
      </c>
      <c r="AA55" s="7">
        <f t="shared" si="34"/>
        <v>0</v>
      </c>
      <c r="AB55" s="3">
        <f t="shared" si="22"/>
        <v>0</v>
      </c>
      <c r="AC55" s="3">
        <f t="shared" si="23"/>
        <v>0</v>
      </c>
      <c r="AD55" s="3">
        <f t="shared" si="24"/>
        <v>0</v>
      </c>
      <c r="AE55" s="3">
        <f t="shared" si="25"/>
        <v>0</v>
      </c>
      <c r="AF55" s="3">
        <f t="shared" si="26"/>
        <v>0</v>
      </c>
      <c r="AG55" s="3">
        <f t="shared" si="27"/>
        <v>0</v>
      </c>
      <c r="AH55" s="112">
        <f>'Gas Chemistry'!$B$11*$W55</f>
        <v>0</v>
      </c>
      <c r="AI55" s="112">
        <f>'Gas Chemistry'!$B$12*$W55</f>
        <v>0</v>
      </c>
      <c r="AJ55" s="112">
        <v>0</v>
      </c>
      <c r="AK55" s="112">
        <f>'Gas Chemistry'!$B$13*$W55</f>
        <v>0</v>
      </c>
      <c r="AL55" s="112">
        <f>'Gas Chemistry'!$B$14*$W55</f>
        <v>0</v>
      </c>
      <c r="AM55" s="112">
        <f>'Gas Chemistry'!$B$15*$W55</f>
        <v>0</v>
      </c>
      <c r="AN55" s="112">
        <f>'Gas Chemistry'!$B$16*$W55</f>
        <v>0</v>
      </c>
      <c r="AO55" s="112">
        <f>'Gas Chemistry'!$B$17*$W55</f>
        <v>0</v>
      </c>
      <c r="AP55" s="14">
        <f>H55*Constants!$C$14</f>
        <v>0</v>
      </c>
      <c r="AQ55" s="114">
        <f>'Gas Chemistry'!$C$122*$AP55</f>
        <v>0</v>
      </c>
      <c r="AR55" s="113">
        <f>'Gas Chemistry'!$C$123*$AP55</f>
        <v>0</v>
      </c>
      <c r="AS55" s="113">
        <f>'Gas Chemistry'!$C$127*$AP55</f>
        <v>0</v>
      </c>
      <c r="AT55" s="114">
        <f>'Gas Chemistry'!$C$124*$AP55</f>
        <v>0</v>
      </c>
      <c r="AU55" s="114">
        <f>'Gas Chemistry'!$C$126*$AP55</f>
        <v>0</v>
      </c>
      <c r="AV55" s="114">
        <f>'Gas Chemistry'!$C$125*$AP55</f>
        <v>0</v>
      </c>
      <c r="AW55" s="114">
        <v>0</v>
      </c>
      <c r="AX55" s="114">
        <v>0</v>
      </c>
    </row>
    <row r="56" spans="1:50" x14ac:dyDescent="0.3">
      <c r="A56" s="178">
        <v>45951</v>
      </c>
      <c r="B56" s="109">
        <v>1751</v>
      </c>
      <c r="C56" s="158" cm="1">
        <f t="array" ref="C56">IF(B56=0, 0, B56 - INDEX(B$4:B55, MAX(IF(B$4:B55&lt;&gt;0, ROW(B$4:B55)-ROW(B$4)+1))))</f>
        <v>40</v>
      </c>
      <c r="D56" s="109">
        <v>0</v>
      </c>
      <c r="E56" s="109">
        <v>0</v>
      </c>
      <c r="F56" s="109">
        <v>11</v>
      </c>
      <c r="G56" s="158">
        <f t="shared" si="16"/>
        <v>11</v>
      </c>
      <c r="H56" s="158">
        <f t="shared" si="17"/>
        <v>11</v>
      </c>
      <c r="I56" s="109">
        <v>65</v>
      </c>
      <c r="J56" s="109">
        <v>80</v>
      </c>
      <c r="K56" s="158">
        <f t="shared" si="5"/>
        <v>15</v>
      </c>
      <c r="L56" s="16">
        <v>4.1666666666666664E-2</v>
      </c>
      <c r="M56" s="16">
        <v>0.12916666666666668</v>
      </c>
      <c r="N56" s="4">
        <v>2</v>
      </c>
      <c r="O56" s="109">
        <v>280</v>
      </c>
      <c r="P56" s="137">
        <f t="shared" si="10"/>
        <v>3.6363636363636362</v>
      </c>
      <c r="Q56" s="4">
        <v>0.4</v>
      </c>
      <c r="R56" s="177" cm="1">
        <f t="array" ref="R56">INDEX(FPLBillHistory_BilledPricePerKW_Range, MATCH(1, (A56&gt;=FPLBillHistory_BillFromDate_Range)*(A56&lt;=FPLBillHistory_BillToDate_Range), 0))</f>
        <v>0.13702267739575713</v>
      </c>
      <c r="S56" s="64">
        <f t="shared" si="35"/>
        <v>0</v>
      </c>
      <c r="T56" s="3">
        <f t="shared" si="36"/>
        <v>1.5072494513533283</v>
      </c>
      <c r="U56" s="3">
        <f t="shared" si="37"/>
        <v>1.5072494513533283</v>
      </c>
      <c r="V56" s="4">
        <v>2.7</v>
      </c>
      <c r="W56" s="3">
        <f t="shared" si="38"/>
        <v>1.6</v>
      </c>
      <c r="X56" s="3">
        <f t="shared" si="31"/>
        <v>4.32</v>
      </c>
      <c r="Y56" s="7">
        <f t="shared" si="32"/>
        <v>2.812750548646672</v>
      </c>
      <c r="Z56" s="5">
        <f t="shared" si="33"/>
        <v>0.65109966403858144</v>
      </c>
      <c r="AA56" s="7">
        <f t="shared" si="34"/>
        <v>2.892750548646672</v>
      </c>
      <c r="AB56" s="3">
        <f t="shared" si="22"/>
        <v>4.4000000000000004</v>
      </c>
      <c r="AC56" s="3">
        <f t="shared" si="23"/>
        <v>4.32</v>
      </c>
      <c r="AD56" s="3">
        <f t="shared" si="24"/>
        <v>1.5072494513533283</v>
      </c>
      <c r="AE56" s="3">
        <f t="shared" si="25"/>
        <v>-8.0000000000000071E-2</v>
      </c>
      <c r="AF56" s="3">
        <f t="shared" si="26"/>
        <v>2.812750548646672</v>
      </c>
      <c r="AG56" s="3">
        <f t="shared" si="27"/>
        <v>2.892750548646672</v>
      </c>
      <c r="AH56" s="112">
        <f>'Gas Chemistry'!$B$11*$W56</f>
        <v>31.360000000000003</v>
      </c>
      <c r="AI56" s="112">
        <f>'Gas Chemistry'!$B$12*$W56</f>
        <v>12.8</v>
      </c>
      <c r="AJ56" s="112">
        <v>0</v>
      </c>
      <c r="AK56" s="112">
        <f>'Gas Chemistry'!$B$13*$W56</f>
        <v>3.2000000000000001E-2</v>
      </c>
      <c r="AL56" s="112">
        <f>'Gas Chemistry'!$B$14*$W56</f>
        <v>1.6E-2</v>
      </c>
      <c r="AM56" s="112">
        <f>'Gas Chemistry'!$B$15*$W56</f>
        <v>3.2000000000000002E-3</v>
      </c>
      <c r="AN56" s="112">
        <f>'Gas Chemistry'!$B$16*$W56</f>
        <v>1.6000000000000001E-3</v>
      </c>
      <c r="AO56" s="112">
        <f>'Gas Chemistry'!$B$17*$W56</f>
        <v>6.4000000000000003E-3</v>
      </c>
      <c r="AP56" s="14">
        <f>H56*Constants!$C$14</f>
        <v>37.531999999999996</v>
      </c>
      <c r="AQ56" s="114">
        <f>'Gas Chemistry'!$C$122*$AP56</f>
        <v>4.3912439999999995</v>
      </c>
      <c r="AR56" s="113">
        <f>'Gas Chemistry'!$C$123*$AP56</f>
        <v>5.4046079999999987</v>
      </c>
      <c r="AS56" s="113">
        <f>'Gas Chemistry'!$C$127*$AP56</f>
        <v>176.40039999999999</v>
      </c>
      <c r="AT56" s="114">
        <f>'Gas Chemistry'!$C$124*$AP56</f>
        <v>3.1526879999999994E-3</v>
      </c>
      <c r="AU56" s="114">
        <f>'Gas Chemistry'!$C$126*$AP56</f>
        <v>3.7531999999999999E-3</v>
      </c>
      <c r="AV56" s="114">
        <f>'Gas Chemistry'!$C$125*$AP56</f>
        <v>1.8766E-4</v>
      </c>
      <c r="AW56" s="114">
        <v>0</v>
      </c>
      <c r="AX56" s="114">
        <v>0</v>
      </c>
    </row>
    <row r="57" spans="1:50" x14ac:dyDescent="0.3">
      <c r="A57" s="178">
        <v>45952</v>
      </c>
      <c r="B57" s="109">
        <v>1775</v>
      </c>
      <c r="C57" s="158" cm="1">
        <f t="array" ref="C57">IF(B57=0, 0, B57 - INDEX(B$4:B56, MAX(IF(B$4:B56&lt;&gt;0, ROW(B$4:B56)-ROW(B$4)+1))))</f>
        <v>24</v>
      </c>
      <c r="D57" s="109">
        <v>0</v>
      </c>
      <c r="E57" s="109">
        <v>0</v>
      </c>
      <c r="F57" s="109">
        <v>6</v>
      </c>
      <c r="G57" s="158">
        <f t="shared" si="16"/>
        <v>6</v>
      </c>
      <c r="H57" s="158">
        <f t="shared" si="17"/>
        <v>6</v>
      </c>
      <c r="I57" s="109">
        <v>72</v>
      </c>
      <c r="J57" s="109">
        <v>80</v>
      </c>
      <c r="K57" s="158">
        <f t="shared" si="5"/>
        <v>8</v>
      </c>
      <c r="L57" s="16">
        <v>4.1666666666666664E-2</v>
      </c>
      <c r="M57" s="16">
        <v>8.3333333333333329E-2</v>
      </c>
      <c r="N57" s="4">
        <v>1</v>
      </c>
      <c r="O57" s="109">
        <v>280</v>
      </c>
      <c r="P57" s="137">
        <f t="shared" si="10"/>
        <v>4</v>
      </c>
      <c r="Q57" s="4">
        <v>0.4</v>
      </c>
      <c r="R57" s="177" cm="1">
        <f t="array" ref="R57">INDEX(FPLBillHistory_BilledPricePerKW_Range, MATCH(1, (A57&gt;=FPLBillHistory_BillFromDate_Range)*(A57&lt;=FPLBillHistory_BillToDate_Range), 0))</f>
        <v>0.13702267739575713</v>
      </c>
      <c r="S57" s="64">
        <f t="shared" si="35"/>
        <v>0</v>
      </c>
      <c r="T57" s="3">
        <f t="shared" si="36"/>
        <v>0.82213606437454279</v>
      </c>
      <c r="U57" s="3">
        <f t="shared" si="37"/>
        <v>0.82213606437454279</v>
      </c>
      <c r="V57" s="4">
        <v>2.7</v>
      </c>
      <c r="W57" s="3">
        <f t="shared" si="38"/>
        <v>0.96</v>
      </c>
      <c r="X57" s="3">
        <f t="shared" si="31"/>
        <v>2.5920000000000001</v>
      </c>
      <c r="Y57" s="7">
        <f t="shared" si="32"/>
        <v>1.7698639356254573</v>
      </c>
      <c r="Z57" s="5">
        <f t="shared" si="33"/>
        <v>0.68281787639871039</v>
      </c>
      <c r="AA57" s="7">
        <f t="shared" si="34"/>
        <v>1.5778639356254576</v>
      </c>
      <c r="AB57" s="3">
        <f t="shared" si="22"/>
        <v>2.4000000000000004</v>
      </c>
      <c r="AC57" s="3">
        <f t="shared" si="23"/>
        <v>2.5920000000000001</v>
      </c>
      <c r="AD57" s="3">
        <f t="shared" si="24"/>
        <v>0.82213606437454279</v>
      </c>
      <c r="AE57" s="3">
        <f t="shared" si="25"/>
        <v>0.19199999999999973</v>
      </c>
      <c r="AF57" s="3">
        <f t="shared" si="26"/>
        <v>1.7698639356254573</v>
      </c>
      <c r="AG57" s="3">
        <f t="shared" si="27"/>
        <v>1.5778639356254576</v>
      </c>
      <c r="AH57" s="112">
        <f>'Gas Chemistry'!$B$11*$W57</f>
        <v>18.815999999999999</v>
      </c>
      <c r="AI57" s="112">
        <f>'Gas Chemistry'!$B$12*$W57</f>
        <v>7.68</v>
      </c>
      <c r="AJ57" s="112">
        <v>0</v>
      </c>
      <c r="AK57" s="112">
        <f>'Gas Chemistry'!$B$13*$W57</f>
        <v>1.9199999999999998E-2</v>
      </c>
      <c r="AL57" s="112">
        <f>'Gas Chemistry'!$B$14*$W57</f>
        <v>9.5999999999999992E-3</v>
      </c>
      <c r="AM57" s="112">
        <f>'Gas Chemistry'!$B$15*$W57</f>
        <v>1.92E-3</v>
      </c>
      <c r="AN57" s="112">
        <f>'Gas Chemistry'!$B$16*$W57</f>
        <v>9.6000000000000002E-4</v>
      </c>
      <c r="AO57" s="112">
        <f>'Gas Chemistry'!$B$17*$W57</f>
        <v>3.8400000000000001E-3</v>
      </c>
      <c r="AP57" s="14">
        <f>H57*Constants!$C$14</f>
        <v>20.472000000000001</v>
      </c>
      <c r="AQ57" s="114">
        <f>'Gas Chemistry'!$C$122*$AP57</f>
        <v>2.3952240000000002</v>
      </c>
      <c r="AR57" s="113">
        <f>'Gas Chemistry'!$C$123*$AP57</f>
        <v>2.9479679999999999</v>
      </c>
      <c r="AS57" s="113">
        <f>'Gas Chemistry'!$C$127*$AP57</f>
        <v>96.218400000000017</v>
      </c>
      <c r="AT57" s="114">
        <f>'Gas Chemistry'!$C$124*$AP57</f>
        <v>1.7196480000000001E-3</v>
      </c>
      <c r="AU57" s="114">
        <f>'Gas Chemistry'!$C$126*$AP57</f>
        <v>2.0472000000000003E-3</v>
      </c>
      <c r="AV57" s="114">
        <f>'Gas Chemistry'!$C$125*$AP57</f>
        <v>1.0236000000000002E-4</v>
      </c>
      <c r="AW57" s="114">
        <v>0</v>
      </c>
      <c r="AX57" s="114">
        <v>0</v>
      </c>
    </row>
    <row r="58" spans="1:50" x14ac:dyDescent="0.3">
      <c r="A58" s="178">
        <v>45953</v>
      </c>
      <c r="B58" s="109">
        <v>0</v>
      </c>
      <c r="C58" s="158" cm="1">
        <f t="array" ref="C58">IF(B58=0, 0, B58 - INDEX(B$4:B57, MAX(IF(B$4:B57&lt;&gt;0, ROW(B$4:B57)-ROW(B$4)+1))))</f>
        <v>0</v>
      </c>
      <c r="D58" s="109">
        <v>0</v>
      </c>
      <c r="E58" s="109">
        <v>0</v>
      </c>
      <c r="F58" s="109">
        <v>0</v>
      </c>
      <c r="G58" s="158">
        <f t="shared" si="16"/>
        <v>0</v>
      </c>
      <c r="H58" s="158">
        <f t="shared" si="17"/>
        <v>0</v>
      </c>
      <c r="I58" s="109">
        <v>0</v>
      </c>
      <c r="J58" s="109">
        <v>0</v>
      </c>
      <c r="K58" s="158">
        <f t="shared" si="5"/>
        <v>0</v>
      </c>
      <c r="L58" s="16"/>
      <c r="M58" s="16"/>
      <c r="N58" s="4">
        <v>0</v>
      </c>
      <c r="O58" s="109">
        <v>0</v>
      </c>
      <c r="P58" s="137">
        <f t="shared" si="10"/>
        <v>0</v>
      </c>
      <c r="Q58" s="4">
        <v>0</v>
      </c>
      <c r="R58" s="177" cm="1">
        <f t="array" ref="R58">INDEX(FPLBillHistory_BilledPricePerKW_Range, MATCH(1, (A58&gt;=FPLBillHistory_BillFromDate_Range)*(A58&lt;=FPLBillHistory_BillToDate_Range), 0))</f>
        <v>0.13702267739575713</v>
      </c>
      <c r="S58" s="64">
        <f t="shared" si="35"/>
        <v>0</v>
      </c>
      <c r="T58" s="3">
        <f t="shared" si="36"/>
        <v>0</v>
      </c>
      <c r="U58" s="3">
        <f t="shared" si="37"/>
        <v>0</v>
      </c>
      <c r="V58" s="4">
        <v>0</v>
      </c>
      <c r="W58" s="3">
        <f t="shared" si="38"/>
        <v>0</v>
      </c>
      <c r="X58" s="3">
        <f t="shared" si="31"/>
        <v>0</v>
      </c>
      <c r="Y58" s="7">
        <f t="shared" si="32"/>
        <v>0</v>
      </c>
      <c r="Z58" s="5">
        <f t="shared" si="33"/>
        <v>0</v>
      </c>
      <c r="AA58" s="7">
        <f t="shared" si="34"/>
        <v>0</v>
      </c>
      <c r="AB58" s="3">
        <f t="shared" si="22"/>
        <v>0</v>
      </c>
      <c r="AC58" s="3">
        <f t="shared" si="23"/>
        <v>0</v>
      </c>
      <c r="AD58" s="3">
        <f t="shared" si="24"/>
        <v>0</v>
      </c>
      <c r="AE58" s="3">
        <f t="shared" si="25"/>
        <v>0</v>
      </c>
      <c r="AF58" s="3">
        <f t="shared" si="26"/>
        <v>0</v>
      </c>
      <c r="AG58" s="3">
        <f t="shared" si="27"/>
        <v>0</v>
      </c>
      <c r="AH58" s="112">
        <f>'Gas Chemistry'!$B$11*$W58</f>
        <v>0</v>
      </c>
      <c r="AI58" s="112">
        <f>'Gas Chemistry'!$B$12*$W58</f>
        <v>0</v>
      </c>
      <c r="AJ58" s="112">
        <v>0</v>
      </c>
      <c r="AK58" s="112">
        <f>'Gas Chemistry'!$B$13*$W58</f>
        <v>0</v>
      </c>
      <c r="AL58" s="112">
        <f>'Gas Chemistry'!$B$14*$W58</f>
        <v>0</v>
      </c>
      <c r="AM58" s="112">
        <f>'Gas Chemistry'!$B$15*$W58</f>
        <v>0</v>
      </c>
      <c r="AN58" s="112">
        <f>'Gas Chemistry'!$B$16*$W58</f>
        <v>0</v>
      </c>
      <c r="AO58" s="112">
        <f>'Gas Chemistry'!$B$17*$W58</f>
        <v>0</v>
      </c>
      <c r="AP58" s="14">
        <f>H58*Constants!$C$14</f>
        <v>0</v>
      </c>
      <c r="AQ58" s="114">
        <f>'Gas Chemistry'!$C$122*$AP58</f>
        <v>0</v>
      </c>
      <c r="AR58" s="113">
        <f>'Gas Chemistry'!$C$123*$AP58</f>
        <v>0</v>
      </c>
      <c r="AS58" s="113">
        <f>'Gas Chemistry'!$C$127*$AP58</f>
        <v>0</v>
      </c>
      <c r="AT58" s="114">
        <f>'Gas Chemistry'!$C$124*$AP58</f>
        <v>0</v>
      </c>
      <c r="AU58" s="114">
        <f>'Gas Chemistry'!$C$126*$AP58</f>
        <v>0</v>
      </c>
      <c r="AV58" s="114">
        <f>'Gas Chemistry'!$C$125*$AP58</f>
        <v>0</v>
      </c>
      <c r="AW58" s="114">
        <v>0</v>
      </c>
      <c r="AX58" s="114">
        <v>0</v>
      </c>
    </row>
    <row r="59" spans="1:50" x14ac:dyDescent="0.3">
      <c r="A59" s="178">
        <v>45954</v>
      </c>
      <c r="B59" s="109">
        <v>0</v>
      </c>
      <c r="C59" s="158" cm="1">
        <f t="array" ref="C59">IF(B59=0, 0, B59 - INDEX(B$4:B58, MAX(IF(B$4:B58&lt;&gt;0, ROW(B$4:B58)-ROW(B$4)+1))))</f>
        <v>0</v>
      </c>
      <c r="D59" s="109">
        <v>0</v>
      </c>
      <c r="E59" s="109">
        <v>0</v>
      </c>
      <c r="F59" s="109">
        <v>0</v>
      </c>
      <c r="G59" s="158">
        <f t="shared" si="16"/>
        <v>0</v>
      </c>
      <c r="H59" s="158">
        <f t="shared" si="17"/>
        <v>0</v>
      </c>
      <c r="I59" s="109">
        <v>0</v>
      </c>
      <c r="J59" s="109">
        <v>0</v>
      </c>
      <c r="K59" s="158">
        <f t="shared" si="5"/>
        <v>0</v>
      </c>
      <c r="L59" s="16"/>
      <c r="M59" s="16"/>
      <c r="N59" s="4">
        <v>0</v>
      </c>
      <c r="O59" s="109">
        <v>0</v>
      </c>
      <c r="P59" s="137">
        <f t="shared" si="10"/>
        <v>0</v>
      </c>
      <c r="Q59" s="4">
        <v>0</v>
      </c>
      <c r="R59" s="177" cm="1">
        <f t="array" ref="R59">INDEX(FPLBillHistory_BilledPricePerKW_Range, MATCH(1, (A59&gt;=FPLBillHistory_BillFromDate_Range)*(A59&lt;=FPLBillHistory_BillToDate_Range), 0))</f>
        <v>0.13702267739575713</v>
      </c>
      <c r="S59" s="64">
        <f t="shared" si="35"/>
        <v>0</v>
      </c>
      <c r="T59" s="3">
        <f t="shared" si="36"/>
        <v>0</v>
      </c>
      <c r="U59" s="3">
        <f t="shared" si="37"/>
        <v>0</v>
      </c>
      <c r="V59" s="4">
        <v>0</v>
      </c>
      <c r="W59" s="3">
        <f t="shared" si="38"/>
        <v>0</v>
      </c>
      <c r="X59" s="3">
        <f t="shared" si="31"/>
        <v>0</v>
      </c>
      <c r="Y59" s="7">
        <f t="shared" si="32"/>
        <v>0</v>
      </c>
      <c r="Z59" s="5">
        <f t="shared" si="33"/>
        <v>0</v>
      </c>
      <c r="AA59" s="7">
        <f t="shared" si="34"/>
        <v>0</v>
      </c>
      <c r="AB59" s="3">
        <f t="shared" si="22"/>
        <v>0</v>
      </c>
      <c r="AC59" s="3">
        <f t="shared" si="23"/>
        <v>0</v>
      </c>
      <c r="AD59" s="3">
        <f t="shared" si="24"/>
        <v>0</v>
      </c>
      <c r="AE59" s="3">
        <f t="shared" si="25"/>
        <v>0</v>
      </c>
      <c r="AF59" s="3">
        <f t="shared" si="26"/>
        <v>0</v>
      </c>
      <c r="AG59" s="3">
        <f t="shared" si="27"/>
        <v>0</v>
      </c>
      <c r="AH59" s="112">
        <f>'Gas Chemistry'!$B$11*$W59</f>
        <v>0</v>
      </c>
      <c r="AI59" s="112">
        <f>'Gas Chemistry'!$B$12*$W59</f>
        <v>0</v>
      </c>
      <c r="AJ59" s="112">
        <v>0</v>
      </c>
      <c r="AK59" s="112">
        <f>'Gas Chemistry'!$B$13*$W59</f>
        <v>0</v>
      </c>
      <c r="AL59" s="112">
        <f>'Gas Chemistry'!$B$14*$W59</f>
        <v>0</v>
      </c>
      <c r="AM59" s="112">
        <f>'Gas Chemistry'!$B$15*$W59</f>
        <v>0</v>
      </c>
      <c r="AN59" s="112">
        <f>'Gas Chemistry'!$B$16*$W59</f>
        <v>0</v>
      </c>
      <c r="AO59" s="112">
        <f>'Gas Chemistry'!$B$17*$W59</f>
        <v>0</v>
      </c>
      <c r="AP59" s="14">
        <f>H59*Constants!$C$14</f>
        <v>0</v>
      </c>
      <c r="AQ59" s="114">
        <f>'Gas Chemistry'!$C$122*$AP59</f>
        <v>0</v>
      </c>
      <c r="AR59" s="113">
        <f>'Gas Chemistry'!$C$123*$AP59</f>
        <v>0</v>
      </c>
      <c r="AS59" s="113">
        <f>'Gas Chemistry'!$C$127*$AP59</f>
        <v>0</v>
      </c>
      <c r="AT59" s="114">
        <f>'Gas Chemistry'!$C$124*$AP59</f>
        <v>0</v>
      </c>
      <c r="AU59" s="114">
        <f>'Gas Chemistry'!$C$126*$AP59</f>
        <v>0</v>
      </c>
      <c r="AV59" s="114">
        <f>'Gas Chemistry'!$C$125*$AP59</f>
        <v>0</v>
      </c>
      <c r="AW59" s="114">
        <v>0</v>
      </c>
      <c r="AX59" s="114">
        <v>0</v>
      </c>
    </row>
    <row r="60" spans="1:50" x14ac:dyDescent="0.3">
      <c r="A60" s="178">
        <v>45955</v>
      </c>
      <c r="B60" s="109">
        <v>0</v>
      </c>
      <c r="C60" s="158" cm="1">
        <f t="array" ref="C60">IF(B60=0, 0, B60 - INDEX(B$4:B59, MAX(IF(B$4:B59&lt;&gt;0, ROW(B$4:B59)-ROW(B$4)+1))))</f>
        <v>0</v>
      </c>
      <c r="D60" s="109">
        <v>0</v>
      </c>
      <c r="E60" s="109">
        <v>0</v>
      </c>
      <c r="F60" s="109">
        <v>0</v>
      </c>
      <c r="G60" s="158">
        <f t="shared" si="16"/>
        <v>0</v>
      </c>
      <c r="H60" s="158">
        <f t="shared" si="17"/>
        <v>0</v>
      </c>
      <c r="I60" s="109">
        <v>0</v>
      </c>
      <c r="J60" s="109">
        <v>0</v>
      </c>
      <c r="K60" s="158">
        <f t="shared" si="5"/>
        <v>0</v>
      </c>
      <c r="L60" s="16"/>
      <c r="M60" s="16"/>
      <c r="N60" s="4">
        <v>0</v>
      </c>
      <c r="O60" s="109">
        <v>0</v>
      </c>
      <c r="P60" s="137">
        <f t="shared" si="10"/>
        <v>0</v>
      </c>
      <c r="Q60" s="4">
        <v>0</v>
      </c>
      <c r="R60" s="177" cm="1">
        <f t="array" ref="R60">INDEX(FPLBillHistory_BilledPricePerKW_Range, MATCH(1, (A60&gt;=FPLBillHistory_BillFromDate_Range)*(A60&lt;=FPLBillHistory_BillToDate_Range), 0))</f>
        <v>0.13702267739575713</v>
      </c>
      <c r="S60" s="64">
        <f t="shared" si="35"/>
        <v>0</v>
      </c>
      <c r="T60" s="3">
        <f t="shared" si="36"/>
        <v>0</v>
      </c>
      <c r="U60" s="3">
        <f t="shared" si="37"/>
        <v>0</v>
      </c>
      <c r="V60" s="4">
        <v>0</v>
      </c>
      <c r="W60" s="3">
        <f t="shared" si="38"/>
        <v>0</v>
      </c>
      <c r="X60" s="3">
        <f t="shared" si="31"/>
        <v>0</v>
      </c>
      <c r="Y60" s="7">
        <f t="shared" si="32"/>
        <v>0</v>
      </c>
      <c r="Z60" s="5">
        <f t="shared" si="33"/>
        <v>0</v>
      </c>
      <c r="AA60" s="7">
        <f t="shared" si="34"/>
        <v>0</v>
      </c>
      <c r="AB60" s="3">
        <f t="shared" si="22"/>
        <v>0</v>
      </c>
      <c r="AC60" s="3">
        <f t="shared" si="23"/>
        <v>0</v>
      </c>
      <c r="AD60" s="3">
        <f t="shared" si="24"/>
        <v>0</v>
      </c>
      <c r="AE60" s="3">
        <f t="shared" si="25"/>
        <v>0</v>
      </c>
      <c r="AF60" s="3">
        <f t="shared" si="26"/>
        <v>0</v>
      </c>
      <c r="AG60" s="3">
        <f t="shared" si="27"/>
        <v>0</v>
      </c>
      <c r="AH60" s="112">
        <f>'Gas Chemistry'!$B$11*$W60</f>
        <v>0</v>
      </c>
      <c r="AI60" s="112">
        <f>'Gas Chemistry'!$B$12*$W60</f>
        <v>0</v>
      </c>
      <c r="AJ60" s="112">
        <v>0</v>
      </c>
      <c r="AK60" s="112">
        <f>'Gas Chemistry'!$B$13*$W60</f>
        <v>0</v>
      </c>
      <c r="AL60" s="112">
        <f>'Gas Chemistry'!$B$14*$W60</f>
        <v>0</v>
      </c>
      <c r="AM60" s="112">
        <f>'Gas Chemistry'!$B$15*$W60</f>
        <v>0</v>
      </c>
      <c r="AN60" s="112">
        <f>'Gas Chemistry'!$B$16*$W60</f>
        <v>0</v>
      </c>
      <c r="AO60" s="112">
        <f>'Gas Chemistry'!$B$17*$W60</f>
        <v>0</v>
      </c>
      <c r="AP60" s="14">
        <f>H60*Constants!$C$14</f>
        <v>0</v>
      </c>
      <c r="AQ60" s="114">
        <f>'Gas Chemistry'!$C$122*$AP60</f>
        <v>0</v>
      </c>
      <c r="AR60" s="113">
        <f>'Gas Chemistry'!$C$123*$AP60</f>
        <v>0</v>
      </c>
      <c r="AS60" s="113">
        <f>'Gas Chemistry'!$C$127*$AP60</f>
        <v>0</v>
      </c>
      <c r="AT60" s="114">
        <f>'Gas Chemistry'!$C$124*$AP60</f>
        <v>0</v>
      </c>
      <c r="AU60" s="114">
        <f>'Gas Chemistry'!$C$126*$AP60</f>
        <v>0</v>
      </c>
      <c r="AV60" s="114">
        <f>'Gas Chemistry'!$C$125*$AP60</f>
        <v>0</v>
      </c>
      <c r="AW60" s="114">
        <v>0</v>
      </c>
      <c r="AX60" s="114">
        <v>0</v>
      </c>
    </row>
    <row r="61" spans="1:50" x14ac:dyDescent="0.3">
      <c r="A61" s="178">
        <v>45956</v>
      </c>
      <c r="B61" s="109">
        <v>0</v>
      </c>
      <c r="C61" s="158" cm="1">
        <f t="array" ref="C61">IF(B61=0, 0, B61 - INDEX(B$4:B60, MAX(IF(B$4:B60&lt;&gt;0, ROW(B$4:B60)-ROW(B$4)+1))))</f>
        <v>0</v>
      </c>
      <c r="D61" s="109">
        <v>0</v>
      </c>
      <c r="E61" s="109">
        <v>0</v>
      </c>
      <c r="F61" s="109">
        <v>0</v>
      </c>
      <c r="G61" s="158">
        <f t="shared" si="16"/>
        <v>0</v>
      </c>
      <c r="H61" s="158">
        <f t="shared" si="17"/>
        <v>0</v>
      </c>
      <c r="I61" s="109">
        <v>0</v>
      </c>
      <c r="J61" s="109">
        <v>0</v>
      </c>
      <c r="K61" s="158">
        <f t="shared" si="5"/>
        <v>0</v>
      </c>
      <c r="L61" s="16"/>
      <c r="M61" s="16"/>
      <c r="N61" s="4">
        <v>0</v>
      </c>
      <c r="O61" s="109">
        <v>0</v>
      </c>
      <c r="P61" s="137">
        <f t="shared" si="10"/>
        <v>0</v>
      </c>
      <c r="Q61" s="4">
        <v>0</v>
      </c>
      <c r="R61" s="177" cm="1">
        <f t="array" ref="R61">INDEX(FPLBillHistory_BilledPricePerKW_Range, MATCH(1, (A61&gt;=FPLBillHistory_BillFromDate_Range)*(A61&lt;=FPLBillHistory_BillToDate_Range), 0))</f>
        <v>0.13702267739575713</v>
      </c>
      <c r="S61" s="64">
        <f t="shared" si="35"/>
        <v>0</v>
      </c>
      <c r="T61" s="3">
        <f t="shared" si="36"/>
        <v>0</v>
      </c>
      <c r="U61" s="3">
        <f t="shared" si="37"/>
        <v>0</v>
      </c>
      <c r="V61" s="4">
        <v>0</v>
      </c>
      <c r="W61" s="3">
        <f t="shared" si="38"/>
        <v>0</v>
      </c>
      <c r="X61" s="3">
        <f t="shared" si="31"/>
        <v>0</v>
      </c>
      <c r="Y61" s="7">
        <f t="shared" si="32"/>
        <v>0</v>
      </c>
      <c r="Z61" s="5">
        <f t="shared" si="33"/>
        <v>0</v>
      </c>
      <c r="AA61" s="7">
        <f t="shared" si="34"/>
        <v>0</v>
      </c>
      <c r="AB61" s="3">
        <f t="shared" si="22"/>
        <v>0</v>
      </c>
      <c r="AC61" s="3">
        <f t="shared" si="23"/>
        <v>0</v>
      </c>
      <c r="AD61" s="3">
        <f t="shared" si="24"/>
        <v>0</v>
      </c>
      <c r="AE61" s="3">
        <f t="shared" si="25"/>
        <v>0</v>
      </c>
      <c r="AF61" s="3">
        <f t="shared" si="26"/>
        <v>0</v>
      </c>
      <c r="AG61" s="3">
        <f t="shared" si="27"/>
        <v>0</v>
      </c>
      <c r="AH61" s="112">
        <f>'Gas Chemistry'!$B$11*$W61</f>
        <v>0</v>
      </c>
      <c r="AI61" s="112">
        <f>'Gas Chemistry'!$B$12*$W61</f>
        <v>0</v>
      </c>
      <c r="AJ61" s="112">
        <v>0</v>
      </c>
      <c r="AK61" s="112">
        <f>'Gas Chemistry'!$B$13*$W61</f>
        <v>0</v>
      </c>
      <c r="AL61" s="112">
        <f>'Gas Chemistry'!$B$14*$W61</f>
        <v>0</v>
      </c>
      <c r="AM61" s="112">
        <f>'Gas Chemistry'!$B$15*$W61</f>
        <v>0</v>
      </c>
      <c r="AN61" s="112">
        <f>'Gas Chemistry'!$B$16*$W61</f>
        <v>0</v>
      </c>
      <c r="AO61" s="112">
        <f>'Gas Chemistry'!$B$17*$W61</f>
        <v>0</v>
      </c>
      <c r="AP61" s="14">
        <f>H61*Constants!$C$14</f>
        <v>0</v>
      </c>
      <c r="AQ61" s="114">
        <f>'Gas Chemistry'!$C$122*$AP61</f>
        <v>0</v>
      </c>
      <c r="AR61" s="113">
        <f>'Gas Chemistry'!$C$123*$AP61</f>
        <v>0</v>
      </c>
      <c r="AS61" s="113">
        <f>'Gas Chemistry'!$C$127*$AP61</f>
        <v>0</v>
      </c>
      <c r="AT61" s="114">
        <f>'Gas Chemistry'!$C$124*$AP61</f>
        <v>0</v>
      </c>
      <c r="AU61" s="114">
        <f>'Gas Chemistry'!$C$126*$AP61</f>
        <v>0</v>
      </c>
      <c r="AV61" s="114">
        <f>'Gas Chemistry'!$C$125*$AP61</f>
        <v>0</v>
      </c>
      <c r="AW61" s="114">
        <v>0</v>
      </c>
      <c r="AX61" s="114">
        <v>0</v>
      </c>
    </row>
    <row r="62" spans="1:50" x14ac:dyDescent="0.3">
      <c r="A62" s="178">
        <v>45957</v>
      </c>
      <c r="B62" s="109">
        <v>0</v>
      </c>
      <c r="C62" s="158" cm="1">
        <f t="array" ref="C62">IF(B62=0, 0, B62 - INDEX(B$4:B61, MAX(IF(B$4:B61&lt;&gt;0, ROW(B$4:B61)-ROW(B$4)+1))))</f>
        <v>0</v>
      </c>
      <c r="D62" s="109">
        <v>0</v>
      </c>
      <c r="E62" s="109">
        <v>0</v>
      </c>
      <c r="F62" s="109">
        <v>0</v>
      </c>
      <c r="G62" s="158">
        <f t="shared" si="16"/>
        <v>0</v>
      </c>
      <c r="H62" s="158">
        <f t="shared" si="17"/>
        <v>0</v>
      </c>
      <c r="I62" s="109">
        <v>0</v>
      </c>
      <c r="J62" s="109">
        <v>0</v>
      </c>
      <c r="K62" s="158">
        <f t="shared" si="5"/>
        <v>0</v>
      </c>
      <c r="L62" s="16"/>
      <c r="M62" s="16"/>
      <c r="N62" s="4">
        <v>0</v>
      </c>
      <c r="O62" s="109">
        <v>0</v>
      </c>
      <c r="P62" s="137">
        <f t="shared" si="10"/>
        <v>0</v>
      </c>
      <c r="Q62" s="4">
        <v>0</v>
      </c>
      <c r="R62" s="177" cm="1">
        <f t="array" ref="R62">INDEX(FPLBillHistory_BilledPricePerKW_Range, MATCH(1, (A62&gt;=FPLBillHistory_BillFromDate_Range)*(A62&lt;=FPLBillHistory_BillToDate_Range), 0))</f>
        <v>0.13702267739575713</v>
      </c>
      <c r="S62" s="64">
        <f t="shared" si="35"/>
        <v>0</v>
      </c>
      <c r="T62" s="3">
        <f t="shared" si="36"/>
        <v>0</v>
      </c>
      <c r="U62" s="3">
        <f t="shared" si="37"/>
        <v>0</v>
      </c>
      <c r="V62" s="4">
        <v>0</v>
      </c>
      <c r="W62" s="3">
        <f t="shared" si="38"/>
        <v>0</v>
      </c>
      <c r="X62" s="3">
        <f t="shared" si="31"/>
        <v>0</v>
      </c>
      <c r="Y62" s="7">
        <f t="shared" si="32"/>
        <v>0</v>
      </c>
      <c r="Z62" s="5">
        <f t="shared" si="33"/>
        <v>0</v>
      </c>
      <c r="AA62" s="7">
        <f t="shared" si="34"/>
        <v>0</v>
      </c>
      <c r="AB62" s="3">
        <f t="shared" si="22"/>
        <v>0</v>
      </c>
      <c r="AC62" s="3">
        <f t="shared" si="23"/>
        <v>0</v>
      </c>
      <c r="AD62" s="3">
        <f t="shared" si="24"/>
        <v>0</v>
      </c>
      <c r="AE62" s="3">
        <f t="shared" si="25"/>
        <v>0</v>
      </c>
      <c r="AF62" s="3">
        <f t="shared" si="26"/>
        <v>0</v>
      </c>
      <c r="AG62" s="3">
        <f t="shared" si="27"/>
        <v>0</v>
      </c>
      <c r="AH62" s="112">
        <f>'Gas Chemistry'!$B$11*$W62</f>
        <v>0</v>
      </c>
      <c r="AI62" s="112">
        <f>'Gas Chemistry'!$B$12*$W62</f>
        <v>0</v>
      </c>
      <c r="AJ62" s="112">
        <v>0</v>
      </c>
      <c r="AK62" s="112">
        <f>'Gas Chemistry'!$B$13*$W62</f>
        <v>0</v>
      </c>
      <c r="AL62" s="112">
        <f>'Gas Chemistry'!$B$14*$W62</f>
        <v>0</v>
      </c>
      <c r="AM62" s="112">
        <f>'Gas Chemistry'!$B$15*$W62</f>
        <v>0</v>
      </c>
      <c r="AN62" s="112">
        <f>'Gas Chemistry'!$B$16*$W62</f>
        <v>0</v>
      </c>
      <c r="AO62" s="112">
        <f>'Gas Chemistry'!$B$17*$W62</f>
        <v>0</v>
      </c>
      <c r="AP62" s="14">
        <f>H62*Constants!$C$14</f>
        <v>0</v>
      </c>
      <c r="AQ62" s="114">
        <f>'Gas Chemistry'!$C$122*$AP62</f>
        <v>0</v>
      </c>
      <c r="AR62" s="113">
        <f>'Gas Chemistry'!$C$123*$AP62</f>
        <v>0</v>
      </c>
      <c r="AS62" s="113">
        <f>'Gas Chemistry'!$C$127*$AP62</f>
        <v>0</v>
      </c>
      <c r="AT62" s="114">
        <f>'Gas Chemistry'!$C$124*$AP62</f>
        <v>0</v>
      </c>
      <c r="AU62" s="114">
        <f>'Gas Chemistry'!$C$126*$AP62</f>
        <v>0</v>
      </c>
      <c r="AV62" s="114">
        <f>'Gas Chemistry'!$C$125*$AP62</f>
        <v>0</v>
      </c>
      <c r="AW62" s="114">
        <v>0</v>
      </c>
      <c r="AX62" s="114">
        <v>0</v>
      </c>
    </row>
    <row r="63" spans="1:50" x14ac:dyDescent="0.3">
      <c r="A63" s="178">
        <v>45958</v>
      </c>
      <c r="B63" s="109">
        <v>0</v>
      </c>
      <c r="C63" s="158" cm="1">
        <f t="array" ref="C63">IF(B63=0, 0, B63 - INDEX(B$4:B62, MAX(IF(B$4:B62&lt;&gt;0, ROW(B$4:B62)-ROW(B$4)+1))))</f>
        <v>0</v>
      </c>
      <c r="D63" s="109">
        <v>0</v>
      </c>
      <c r="E63" s="109">
        <v>0</v>
      </c>
      <c r="F63" s="109">
        <v>0</v>
      </c>
      <c r="G63" s="158">
        <f t="shared" si="16"/>
        <v>0</v>
      </c>
      <c r="H63" s="158">
        <f t="shared" si="17"/>
        <v>0</v>
      </c>
      <c r="I63" s="109">
        <v>0</v>
      </c>
      <c r="J63" s="109">
        <v>0</v>
      </c>
      <c r="K63" s="158">
        <f t="shared" si="5"/>
        <v>0</v>
      </c>
      <c r="L63" s="16"/>
      <c r="M63" s="16"/>
      <c r="N63" s="4">
        <v>0</v>
      </c>
      <c r="O63" s="109">
        <v>0</v>
      </c>
      <c r="P63" s="137">
        <f t="shared" si="10"/>
        <v>0</v>
      </c>
      <c r="Q63" s="4">
        <v>0</v>
      </c>
      <c r="R63" s="177" cm="1">
        <f t="array" ref="R63">INDEX(FPLBillHistory_BilledPricePerKW_Range, MATCH(1, (A63&gt;=FPLBillHistory_BillFromDate_Range)*(A63&lt;=FPLBillHistory_BillToDate_Range), 0))</f>
        <v>0.13702267739575713</v>
      </c>
      <c r="S63" s="64">
        <f t="shared" si="35"/>
        <v>0</v>
      </c>
      <c r="T63" s="3">
        <f t="shared" si="36"/>
        <v>0</v>
      </c>
      <c r="U63" s="3">
        <f t="shared" si="37"/>
        <v>0</v>
      </c>
      <c r="V63" s="4">
        <v>0</v>
      </c>
      <c r="W63" s="3">
        <f t="shared" si="38"/>
        <v>0</v>
      </c>
      <c r="X63" s="3">
        <f t="shared" si="31"/>
        <v>0</v>
      </c>
      <c r="Y63" s="7">
        <f t="shared" si="32"/>
        <v>0</v>
      </c>
      <c r="Z63" s="5">
        <f t="shared" si="33"/>
        <v>0</v>
      </c>
      <c r="AA63" s="7">
        <f t="shared" si="34"/>
        <v>0</v>
      </c>
      <c r="AB63" s="3">
        <f t="shared" si="22"/>
        <v>0</v>
      </c>
      <c r="AC63" s="3">
        <f t="shared" si="23"/>
        <v>0</v>
      </c>
      <c r="AD63" s="3">
        <f t="shared" si="24"/>
        <v>0</v>
      </c>
      <c r="AE63" s="3">
        <f t="shared" si="25"/>
        <v>0</v>
      </c>
      <c r="AF63" s="3">
        <f t="shared" si="26"/>
        <v>0</v>
      </c>
      <c r="AG63" s="3">
        <f t="shared" si="27"/>
        <v>0</v>
      </c>
      <c r="AH63" s="112">
        <f>'Gas Chemistry'!$B$11*$W63</f>
        <v>0</v>
      </c>
      <c r="AI63" s="112">
        <f>'Gas Chemistry'!$B$12*$W63</f>
        <v>0</v>
      </c>
      <c r="AJ63" s="112">
        <v>0</v>
      </c>
      <c r="AK63" s="112">
        <f>'Gas Chemistry'!$B$13*$W63</f>
        <v>0</v>
      </c>
      <c r="AL63" s="112">
        <f>'Gas Chemistry'!$B$14*$W63</f>
        <v>0</v>
      </c>
      <c r="AM63" s="112">
        <f>'Gas Chemistry'!$B$15*$W63</f>
        <v>0</v>
      </c>
      <c r="AN63" s="112">
        <f>'Gas Chemistry'!$B$16*$W63</f>
        <v>0</v>
      </c>
      <c r="AO63" s="112">
        <f>'Gas Chemistry'!$B$17*$W63</f>
        <v>0</v>
      </c>
      <c r="AP63" s="14">
        <f>H63*Constants!$C$14</f>
        <v>0</v>
      </c>
      <c r="AQ63" s="114">
        <f>'Gas Chemistry'!$C$122*$AP63</f>
        <v>0</v>
      </c>
      <c r="AR63" s="113">
        <f>'Gas Chemistry'!$C$123*$AP63</f>
        <v>0</v>
      </c>
      <c r="AS63" s="113">
        <f>'Gas Chemistry'!$C$127*$AP63</f>
        <v>0</v>
      </c>
      <c r="AT63" s="114">
        <f>'Gas Chemistry'!$C$124*$AP63</f>
        <v>0</v>
      </c>
      <c r="AU63" s="114">
        <f>'Gas Chemistry'!$C$126*$AP63</f>
        <v>0</v>
      </c>
      <c r="AV63" s="114">
        <f>'Gas Chemistry'!$C$125*$AP63</f>
        <v>0</v>
      </c>
      <c r="AW63" s="114">
        <v>0</v>
      </c>
      <c r="AX63" s="114">
        <v>0</v>
      </c>
    </row>
    <row r="64" spans="1:50" x14ac:dyDescent="0.3">
      <c r="A64" s="178">
        <v>45959</v>
      </c>
      <c r="B64" s="109">
        <v>0</v>
      </c>
      <c r="C64" s="158" cm="1">
        <f t="array" ref="C64">IF(B64=0, 0, B64 - INDEX(B$4:B63, MAX(IF(B$4:B63&lt;&gt;0, ROW(B$4:B63)-ROW(B$4)+1))))</f>
        <v>0</v>
      </c>
      <c r="D64" s="109">
        <v>0</v>
      </c>
      <c r="E64" s="109">
        <v>0</v>
      </c>
      <c r="F64" s="109">
        <v>0</v>
      </c>
      <c r="G64" s="158">
        <f t="shared" si="16"/>
        <v>0</v>
      </c>
      <c r="H64" s="158">
        <f t="shared" si="17"/>
        <v>0</v>
      </c>
      <c r="I64" s="109">
        <v>0</v>
      </c>
      <c r="J64" s="109">
        <v>0</v>
      </c>
      <c r="K64" s="158">
        <f t="shared" si="5"/>
        <v>0</v>
      </c>
      <c r="L64" s="16"/>
      <c r="M64" s="16"/>
      <c r="N64" s="4">
        <v>0</v>
      </c>
      <c r="O64" s="109">
        <v>0</v>
      </c>
      <c r="P64" s="137">
        <f t="shared" si="10"/>
        <v>0</v>
      </c>
      <c r="Q64" s="4">
        <v>0</v>
      </c>
      <c r="R64" s="177" cm="1">
        <f t="array" ref="R64">INDEX(FPLBillHistory_BilledPricePerKW_Range, MATCH(1, (A64&gt;=FPLBillHistory_BillFromDate_Range)*(A64&lt;=FPLBillHistory_BillToDate_Range), 0))</f>
        <v>0.13702267739575713</v>
      </c>
      <c r="S64" s="64">
        <f t="shared" si="35"/>
        <v>0</v>
      </c>
      <c r="T64" s="3">
        <f t="shared" si="36"/>
        <v>0</v>
      </c>
      <c r="U64" s="3">
        <f t="shared" si="37"/>
        <v>0</v>
      </c>
      <c r="V64" s="4">
        <v>0</v>
      </c>
      <c r="W64" s="3">
        <f t="shared" si="38"/>
        <v>0</v>
      </c>
      <c r="X64" s="3">
        <f t="shared" si="31"/>
        <v>0</v>
      </c>
      <c r="Y64" s="7">
        <f t="shared" si="32"/>
        <v>0</v>
      </c>
      <c r="Z64" s="5">
        <f t="shared" si="33"/>
        <v>0</v>
      </c>
      <c r="AA64" s="7">
        <f t="shared" si="34"/>
        <v>0</v>
      </c>
      <c r="AB64" s="3">
        <f t="shared" si="22"/>
        <v>0</v>
      </c>
      <c r="AC64" s="3">
        <f t="shared" si="23"/>
        <v>0</v>
      </c>
      <c r="AD64" s="3">
        <f t="shared" si="24"/>
        <v>0</v>
      </c>
      <c r="AE64" s="3">
        <f t="shared" si="25"/>
        <v>0</v>
      </c>
      <c r="AF64" s="3">
        <f t="shared" si="26"/>
        <v>0</v>
      </c>
      <c r="AG64" s="3">
        <f t="shared" si="27"/>
        <v>0</v>
      </c>
      <c r="AH64" s="112">
        <f>'Gas Chemistry'!$B$11*$W64</f>
        <v>0</v>
      </c>
      <c r="AI64" s="112">
        <f>'Gas Chemistry'!$B$12*$W64</f>
        <v>0</v>
      </c>
      <c r="AJ64" s="112">
        <v>0</v>
      </c>
      <c r="AK64" s="112">
        <f>'Gas Chemistry'!$B$13*$W64</f>
        <v>0</v>
      </c>
      <c r="AL64" s="112">
        <f>'Gas Chemistry'!$B$14*$W64</f>
        <v>0</v>
      </c>
      <c r="AM64" s="112">
        <f>'Gas Chemistry'!$B$15*$W64</f>
        <v>0</v>
      </c>
      <c r="AN64" s="112">
        <f>'Gas Chemistry'!$B$16*$W64</f>
        <v>0</v>
      </c>
      <c r="AO64" s="112">
        <f>'Gas Chemistry'!$B$17*$W64</f>
        <v>0</v>
      </c>
      <c r="AP64" s="14">
        <f>H64*Constants!$C$14</f>
        <v>0</v>
      </c>
      <c r="AQ64" s="114">
        <f>'Gas Chemistry'!$C$122*$AP64</f>
        <v>0</v>
      </c>
      <c r="AR64" s="113">
        <f>'Gas Chemistry'!$C$123*$AP64</f>
        <v>0</v>
      </c>
      <c r="AS64" s="113">
        <f>'Gas Chemistry'!$C$127*$AP64</f>
        <v>0</v>
      </c>
      <c r="AT64" s="114">
        <f>'Gas Chemistry'!$C$124*$AP64</f>
        <v>0</v>
      </c>
      <c r="AU64" s="114">
        <f>'Gas Chemistry'!$C$126*$AP64</f>
        <v>0</v>
      </c>
      <c r="AV64" s="114">
        <f>'Gas Chemistry'!$C$125*$AP64</f>
        <v>0</v>
      </c>
      <c r="AW64" s="114">
        <v>0</v>
      </c>
      <c r="AX64" s="114">
        <v>0</v>
      </c>
    </row>
    <row r="65" spans="1:50" x14ac:dyDescent="0.3">
      <c r="A65" s="178">
        <v>45960</v>
      </c>
      <c r="B65" s="109">
        <v>0</v>
      </c>
      <c r="C65" s="158" cm="1">
        <f t="array" ref="C65">IF(B65=0, 0, B65 - INDEX(B$4:B64, MAX(IF(B$4:B64&lt;&gt;0, ROW(B$4:B64)-ROW(B$4)+1))))</f>
        <v>0</v>
      </c>
      <c r="D65" s="109">
        <v>0</v>
      </c>
      <c r="E65" s="109">
        <v>0</v>
      </c>
      <c r="F65" s="109">
        <v>0</v>
      </c>
      <c r="G65" s="158">
        <f t="shared" si="16"/>
        <v>0</v>
      </c>
      <c r="H65" s="158">
        <f t="shared" si="17"/>
        <v>0</v>
      </c>
      <c r="I65" s="109">
        <v>0</v>
      </c>
      <c r="J65" s="109">
        <v>0</v>
      </c>
      <c r="K65" s="158">
        <f t="shared" si="5"/>
        <v>0</v>
      </c>
      <c r="L65" s="16"/>
      <c r="M65" s="16"/>
      <c r="N65" s="4">
        <v>0</v>
      </c>
      <c r="O65" s="109">
        <v>0</v>
      </c>
      <c r="P65" s="137">
        <f t="shared" si="10"/>
        <v>0</v>
      </c>
      <c r="Q65" s="4">
        <v>0</v>
      </c>
      <c r="R65" s="177" cm="1">
        <f t="array" ref="R65">INDEX(FPLBillHistory_BilledPricePerKW_Range, MATCH(1, (A65&gt;=FPLBillHistory_BillFromDate_Range)*(A65&lt;=FPLBillHistory_BillToDate_Range), 0))</f>
        <v>0.13702267739575713</v>
      </c>
      <c r="S65" s="64">
        <f t="shared" si="35"/>
        <v>0</v>
      </c>
      <c r="T65" s="3">
        <f t="shared" si="36"/>
        <v>0</v>
      </c>
      <c r="U65" s="3">
        <f t="shared" si="37"/>
        <v>0</v>
      </c>
      <c r="V65" s="4">
        <v>0</v>
      </c>
      <c r="W65" s="3">
        <f t="shared" si="38"/>
        <v>0</v>
      </c>
      <c r="X65" s="3">
        <f t="shared" si="31"/>
        <v>0</v>
      </c>
      <c r="Y65" s="7">
        <f t="shared" si="32"/>
        <v>0</v>
      </c>
      <c r="Z65" s="5">
        <f t="shared" si="33"/>
        <v>0</v>
      </c>
      <c r="AA65" s="7">
        <f t="shared" si="34"/>
        <v>0</v>
      </c>
      <c r="AB65" s="3">
        <f t="shared" si="22"/>
        <v>0</v>
      </c>
      <c r="AC65" s="3">
        <f t="shared" si="23"/>
        <v>0</v>
      </c>
      <c r="AD65" s="3">
        <f t="shared" si="24"/>
        <v>0</v>
      </c>
      <c r="AE65" s="3">
        <f t="shared" si="25"/>
        <v>0</v>
      </c>
      <c r="AF65" s="3">
        <f t="shared" si="26"/>
        <v>0</v>
      </c>
      <c r="AG65" s="3">
        <f t="shared" si="27"/>
        <v>0</v>
      </c>
      <c r="AH65" s="112">
        <f>'Gas Chemistry'!$B$11*$W65</f>
        <v>0</v>
      </c>
      <c r="AI65" s="112">
        <f>'Gas Chemistry'!$B$12*$W65</f>
        <v>0</v>
      </c>
      <c r="AJ65" s="112">
        <v>0</v>
      </c>
      <c r="AK65" s="112">
        <f>'Gas Chemistry'!$B$13*$W65</f>
        <v>0</v>
      </c>
      <c r="AL65" s="112">
        <f>'Gas Chemistry'!$B$14*$W65</f>
        <v>0</v>
      </c>
      <c r="AM65" s="112">
        <f>'Gas Chemistry'!$B$15*$W65</f>
        <v>0</v>
      </c>
      <c r="AN65" s="112">
        <f>'Gas Chemistry'!$B$16*$W65</f>
        <v>0</v>
      </c>
      <c r="AO65" s="112">
        <f>'Gas Chemistry'!$B$17*$W65</f>
        <v>0</v>
      </c>
      <c r="AP65" s="14">
        <f>H65*Constants!$C$14</f>
        <v>0</v>
      </c>
      <c r="AQ65" s="114">
        <f>'Gas Chemistry'!$C$122*$AP65</f>
        <v>0</v>
      </c>
      <c r="AR65" s="113">
        <f>'Gas Chemistry'!$C$123*$AP65</f>
        <v>0</v>
      </c>
      <c r="AS65" s="113">
        <f>'Gas Chemistry'!$C$127*$AP65</f>
        <v>0</v>
      </c>
      <c r="AT65" s="114">
        <f>'Gas Chemistry'!$C$124*$AP65</f>
        <v>0</v>
      </c>
      <c r="AU65" s="114">
        <f>'Gas Chemistry'!$C$126*$AP65</f>
        <v>0</v>
      </c>
      <c r="AV65" s="114">
        <f>'Gas Chemistry'!$C$125*$AP65</f>
        <v>0</v>
      </c>
      <c r="AW65" s="114">
        <v>0</v>
      </c>
      <c r="AX65" s="114">
        <v>0</v>
      </c>
    </row>
    <row r="66" spans="1:50" x14ac:dyDescent="0.3">
      <c r="A66" s="178">
        <v>45961</v>
      </c>
      <c r="B66" s="109">
        <v>0</v>
      </c>
      <c r="C66" s="158" cm="1">
        <f t="array" ref="C66">IF(B66=0, 0, B66 - INDEX(B$4:B65, MAX(IF(B$4:B65&lt;&gt;0, ROW(B$4:B65)-ROW(B$4)+1))))</f>
        <v>0</v>
      </c>
      <c r="D66" s="109">
        <v>0</v>
      </c>
      <c r="E66" s="109">
        <v>0</v>
      </c>
      <c r="F66" s="109">
        <v>0</v>
      </c>
      <c r="G66" s="158">
        <f t="shared" si="16"/>
        <v>0</v>
      </c>
      <c r="H66" s="158">
        <f t="shared" si="17"/>
        <v>0</v>
      </c>
      <c r="I66" s="109">
        <v>0</v>
      </c>
      <c r="J66" s="109">
        <v>0</v>
      </c>
      <c r="K66" s="158">
        <f t="shared" si="5"/>
        <v>0</v>
      </c>
      <c r="L66" s="16"/>
      <c r="M66" s="16"/>
      <c r="N66" s="4">
        <v>0</v>
      </c>
      <c r="O66" s="109">
        <v>0</v>
      </c>
      <c r="P66" s="137">
        <f t="shared" si="10"/>
        <v>0</v>
      </c>
      <c r="Q66" s="4">
        <v>0</v>
      </c>
      <c r="R66" s="177" cm="1">
        <f t="array" ref="R66">INDEX(FPLBillHistory_BilledPricePerKW_Range, MATCH(1, (A66&gt;=FPLBillHistory_BillFromDate_Range)*(A66&lt;=FPLBillHistory_BillToDate_Range), 0))</f>
        <v>0.13702267739575713</v>
      </c>
      <c r="S66" s="64">
        <f t="shared" si="35"/>
        <v>0</v>
      </c>
      <c r="T66" s="3">
        <f t="shared" si="36"/>
        <v>0</v>
      </c>
      <c r="U66" s="3">
        <f t="shared" si="37"/>
        <v>0</v>
      </c>
      <c r="V66" s="4">
        <v>0</v>
      </c>
      <c r="W66" s="3">
        <f t="shared" si="38"/>
        <v>0</v>
      </c>
      <c r="X66" s="3">
        <f t="shared" si="31"/>
        <v>0</v>
      </c>
      <c r="Y66" s="7">
        <f t="shared" si="32"/>
        <v>0</v>
      </c>
      <c r="Z66" s="5">
        <f t="shared" si="33"/>
        <v>0</v>
      </c>
      <c r="AA66" s="7">
        <f t="shared" si="34"/>
        <v>0</v>
      </c>
      <c r="AB66" s="3">
        <f t="shared" si="22"/>
        <v>0</v>
      </c>
      <c r="AC66" s="3">
        <f t="shared" si="23"/>
        <v>0</v>
      </c>
      <c r="AD66" s="3">
        <f t="shared" si="24"/>
        <v>0</v>
      </c>
      <c r="AE66" s="3">
        <f t="shared" si="25"/>
        <v>0</v>
      </c>
      <c r="AF66" s="3">
        <f t="shared" si="26"/>
        <v>0</v>
      </c>
      <c r="AG66" s="3">
        <f t="shared" si="27"/>
        <v>0</v>
      </c>
      <c r="AH66" s="112">
        <f>'Gas Chemistry'!$B$11*$W66</f>
        <v>0</v>
      </c>
      <c r="AI66" s="112">
        <f>'Gas Chemistry'!$B$12*$W66</f>
        <v>0</v>
      </c>
      <c r="AJ66" s="112">
        <v>0</v>
      </c>
      <c r="AK66" s="112">
        <f>'Gas Chemistry'!$B$13*$W66</f>
        <v>0</v>
      </c>
      <c r="AL66" s="112">
        <f>'Gas Chemistry'!$B$14*$W66</f>
        <v>0</v>
      </c>
      <c r="AM66" s="112">
        <f>'Gas Chemistry'!$B$15*$W66</f>
        <v>0</v>
      </c>
      <c r="AN66" s="112">
        <f>'Gas Chemistry'!$B$16*$W66</f>
        <v>0</v>
      </c>
      <c r="AO66" s="112">
        <f>'Gas Chemistry'!$B$17*$W66</f>
        <v>0</v>
      </c>
      <c r="AP66" s="14">
        <f>H66*Constants!$C$14</f>
        <v>0</v>
      </c>
      <c r="AQ66" s="114">
        <f>'Gas Chemistry'!$C$122*$AP66</f>
        <v>0</v>
      </c>
      <c r="AR66" s="113">
        <f>'Gas Chemistry'!$C$123*$AP66</f>
        <v>0</v>
      </c>
      <c r="AS66" s="113">
        <f>'Gas Chemistry'!$C$127*$AP66</f>
        <v>0</v>
      </c>
      <c r="AT66" s="114">
        <f>'Gas Chemistry'!$C$124*$AP66</f>
        <v>0</v>
      </c>
      <c r="AU66" s="114">
        <f>'Gas Chemistry'!$C$126*$AP66</f>
        <v>0</v>
      </c>
      <c r="AV66" s="114">
        <f>'Gas Chemistry'!$C$125*$AP66</f>
        <v>0</v>
      </c>
      <c r="AW66" s="114">
        <v>0</v>
      </c>
      <c r="AX66" s="114">
        <v>0</v>
      </c>
    </row>
    <row r="67" spans="1:50" x14ac:dyDescent="0.3">
      <c r="A67" s="178">
        <v>45962</v>
      </c>
      <c r="B67" s="109">
        <v>0</v>
      </c>
      <c r="C67" s="158" cm="1">
        <f t="array" ref="C67">IF(B67=0, 0, B67 - INDEX(B$4:B66, MAX(IF(B$4:B66&lt;&gt;0, ROW(B$4:B66)-ROW(B$4)+1))))</f>
        <v>0</v>
      </c>
      <c r="D67" s="109">
        <v>0</v>
      </c>
      <c r="E67" s="109">
        <v>0</v>
      </c>
      <c r="F67" s="109">
        <v>0</v>
      </c>
      <c r="G67" s="158">
        <f t="shared" si="16"/>
        <v>0</v>
      </c>
      <c r="H67" s="158">
        <f t="shared" si="17"/>
        <v>0</v>
      </c>
      <c r="I67" s="109">
        <v>0</v>
      </c>
      <c r="J67" s="109">
        <v>0</v>
      </c>
      <c r="K67" s="158">
        <f t="shared" si="5"/>
        <v>0</v>
      </c>
      <c r="L67" s="16"/>
      <c r="M67" s="16"/>
      <c r="N67" s="4">
        <v>0</v>
      </c>
      <c r="O67" s="109">
        <v>0</v>
      </c>
      <c r="P67" s="137">
        <f t="shared" si="10"/>
        <v>0</v>
      </c>
      <c r="Q67" s="4">
        <v>0</v>
      </c>
      <c r="R67" s="177" cm="1">
        <f t="array" ref="R67">INDEX(FPLBillHistory_BilledPricePerKW_Range, MATCH(1, (A67&gt;=FPLBillHistory_BillFromDate_Range)*(A67&lt;=FPLBillHistory_BillToDate_Range), 0))</f>
        <v>0.13702267739575713</v>
      </c>
      <c r="S67" s="64">
        <f t="shared" si="35"/>
        <v>0</v>
      </c>
      <c r="T67" s="3">
        <f t="shared" si="36"/>
        <v>0</v>
      </c>
      <c r="U67" s="3">
        <f t="shared" si="37"/>
        <v>0</v>
      </c>
      <c r="V67" s="4">
        <v>0</v>
      </c>
      <c r="W67" s="3">
        <f t="shared" si="38"/>
        <v>0</v>
      </c>
      <c r="X67" s="3">
        <f t="shared" si="31"/>
        <v>0</v>
      </c>
      <c r="Y67" s="7">
        <f t="shared" si="32"/>
        <v>0</v>
      </c>
      <c r="Z67" s="5">
        <f t="shared" si="33"/>
        <v>0</v>
      </c>
      <c r="AA67" s="7">
        <f t="shared" si="34"/>
        <v>0</v>
      </c>
      <c r="AB67" s="3">
        <f t="shared" si="22"/>
        <v>0</v>
      </c>
      <c r="AC67" s="3">
        <f t="shared" si="23"/>
        <v>0</v>
      </c>
      <c r="AD67" s="3">
        <f t="shared" si="24"/>
        <v>0</v>
      </c>
      <c r="AE67" s="3">
        <f t="shared" si="25"/>
        <v>0</v>
      </c>
      <c r="AF67" s="3">
        <f t="shared" si="26"/>
        <v>0</v>
      </c>
      <c r="AG67" s="3">
        <f t="shared" si="27"/>
        <v>0</v>
      </c>
      <c r="AH67" s="112">
        <f>'Gas Chemistry'!$B$11*$W67</f>
        <v>0</v>
      </c>
      <c r="AI67" s="112">
        <f>'Gas Chemistry'!$B$12*$W67</f>
        <v>0</v>
      </c>
      <c r="AJ67" s="112">
        <v>0</v>
      </c>
      <c r="AK67" s="112">
        <f>'Gas Chemistry'!$B$13*$W67</f>
        <v>0</v>
      </c>
      <c r="AL67" s="112">
        <f>'Gas Chemistry'!$B$14*$W67</f>
        <v>0</v>
      </c>
      <c r="AM67" s="112">
        <f>'Gas Chemistry'!$B$15*$W67</f>
        <v>0</v>
      </c>
      <c r="AN67" s="112">
        <f>'Gas Chemistry'!$B$16*$W67</f>
        <v>0</v>
      </c>
      <c r="AO67" s="112">
        <f>'Gas Chemistry'!$B$17*$W67</f>
        <v>0</v>
      </c>
      <c r="AP67" s="14">
        <f>H67*Constants!$C$14</f>
        <v>0</v>
      </c>
      <c r="AQ67" s="114">
        <f>'Gas Chemistry'!$C$122*$AP67</f>
        <v>0</v>
      </c>
      <c r="AR67" s="113">
        <f>'Gas Chemistry'!$C$123*$AP67</f>
        <v>0</v>
      </c>
      <c r="AS67" s="113">
        <f>'Gas Chemistry'!$C$127*$AP67</f>
        <v>0</v>
      </c>
      <c r="AT67" s="114">
        <f>'Gas Chemistry'!$C$124*$AP67</f>
        <v>0</v>
      </c>
      <c r="AU67" s="114">
        <f>'Gas Chemistry'!$C$126*$AP67</f>
        <v>0</v>
      </c>
      <c r="AV67" s="114">
        <f>'Gas Chemistry'!$C$125*$AP67</f>
        <v>0</v>
      </c>
      <c r="AW67" s="114">
        <v>0</v>
      </c>
      <c r="AX67" s="114">
        <v>0</v>
      </c>
    </row>
    <row r="68" spans="1:50" x14ac:dyDescent="0.3">
      <c r="A68" s="178">
        <v>45963</v>
      </c>
      <c r="B68" s="109">
        <v>0</v>
      </c>
      <c r="C68" s="158" cm="1">
        <f t="array" ref="C68">IF(B68=0, 0, B68 - INDEX(B$4:B67, MAX(IF(B$4:B67&lt;&gt;0, ROW(B$4:B67)-ROW(B$4)+1))))</f>
        <v>0</v>
      </c>
      <c r="D68" s="109">
        <v>0</v>
      </c>
      <c r="E68" s="109">
        <v>0</v>
      </c>
      <c r="F68" s="109">
        <v>0</v>
      </c>
      <c r="G68" s="158">
        <f t="shared" si="16"/>
        <v>0</v>
      </c>
      <c r="H68" s="158">
        <f t="shared" si="17"/>
        <v>0</v>
      </c>
      <c r="I68" s="109">
        <v>0</v>
      </c>
      <c r="J68" s="109">
        <v>0</v>
      </c>
      <c r="K68" s="158">
        <f t="shared" si="5"/>
        <v>0</v>
      </c>
      <c r="L68" s="16"/>
      <c r="M68" s="16"/>
      <c r="N68" s="4">
        <v>0</v>
      </c>
      <c r="O68" s="109">
        <v>0</v>
      </c>
      <c r="P68" s="137">
        <f t="shared" si="10"/>
        <v>0</v>
      </c>
      <c r="Q68" s="4">
        <v>0</v>
      </c>
      <c r="R68" s="177" cm="1">
        <f t="array" ref="R68">INDEX(FPLBillHistory_BilledPricePerKW_Range, MATCH(1, (A68&gt;=FPLBillHistory_BillFromDate_Range)*(A68&lt;=FPLBillHistory_BillToDate_Range), 0))</f>
        <v>0.13702267739575713</v>
      </c>
      <c r="S68" s="64">
        <f t="shared" si="35"/>
        <v>0</v>
      </c>
      <c r="T68" s="3">
        <f t="shared" si="36"/>
        <v>0</v>
      </c>
      <c r="U68" s="3">
        <f t="shared" si="37"/>
        <v>0</v>
      </c>
      <c r="V68" s="4">
        <v>0</v>
      </c>
      <c r="W68" s="3">
        <f t="shared" si="38"/>
        <v>0</v>
      </c>
      <c r="X68" s="3">
        <f t="shared" si="31"/>
        <v>0</v>
      </c>
      <c r="Y68" s="7">
        <f t="shared" si="32"/>
        <v>0</v>
      </c>
      <c r="Z68" s="5">
        <f t="shared" si="33"/>
        <v>0</v>
      </c>
      <c r="AA68" s="7">
        <f t="shared" si="34"/>
        <v>0</v>
      </c>
      <c r="AB68" s="3">
        <f t="shared" si="22"/>
        <v>0</v>
      </c>
      <c r="AC68" s="3">
        <f t="shared" si="23"/>
        <v>0</v>
      </c>
      <c r="AD68" s="3">
        <f t="shared" si="24"/>
        <v>0</v>
      </c>
      <c r="AE68" s="3">
        <f t="shared" si="25"/>
        <v>0</v>
      </c>
      <c r="AF68" s="3">
        <f t="shared" si="26"/>
        <v>0</v>
      </c>
      <c r="AG68" s="3">
        <f t="shared" si="27"/>
        <v>0</v>
      </c>
      <c r="AH68" s="112">
        <f>'Gas Chemistry'!$B$11*$W68</f>
        <v>0</v>
      </c>
      <c r="AI68" s="112">
        <f>'Gas Chemistry'!$B$12*$W68</f>
        <v>0</v>
      </c>
      <c r="AJ68" s="112">
        <v>0</v>
      </c>
      <c r="AK68" s="112">
        <f>'Gas Chemistry'!$B$13*$W68</f>
        <v>0</v>
      </c>
      <c r="AL68" s="112">
        <f>'Gas Chemistry'!$B$14*$W68</f>
        <v>0</v>
      </c>
      <c r="AM68" s="112">
        <f>'Gas Chemistry'!$B$15*$W68</f>
        <v>0</v>
      </c>
      <c r="AN68" s="112">
        <f>'Gas Chemistry'!$B$16*$W68</f>
        <v>0</v>
      </c>
      <c r="AO68" s="112">
        <f>'Gas Chemistry'!$B$17*$W68</f>
        <v>0</v>
      </c>
      <c r="AP68" s="14">
        <f>H68*Constants!$C$14</f>
        <v>0</v>
      </c>
      <c r="AQ68" s="114">
        <f>'Gas Chemistry'!$C$122*$AP68</f>
        <v>0</v>
      </c>
      <c r="AR68" s="113">
        <f>'Gas Chemistry'!$C$123*$AP68</f>
        <v>0</v>
      </c>
      <c r="AS68" s="113">
        <f>'Gas Chemistry'!$C$127*$AP68</f>
        <v>0</v>
      </c>
      <c r="AT68" s="114">
        <f>'Gas Chemistry'!$C$124*$AP68</f>
        <v>0</v>
      </c>
      <c r="AU68" s="114">
        <f>'Gas Chemistry'!$C$126*$AP68</f>
        <v>0</v>
      </c>
      <c r="AV68" s="114">
        <f>'Gas Chemistry'!$C$125*$AP68</f>
        <v>0</v>
      </c>
      <c r="AW68" s="114">
        <v>0</v>
      </c>
      <c r="AX68" s="114">
        <v>0</v>
      </c>
    </row>
    <row r="69" spans="1:50" x14ac:dyDescent="0.3">
      <c r="A69" s="178">
        <v>45964</v>
      </c>
    </row>
    <row r="70" spans="1:50" x14ac:dyDescent="0.3">
      <c r="A70" s="178">
        <v>45965</v>
      </c>
    </row>
    <row r="71" spans="1:50" x14ac:dyDescent="0.3">
      <c r="A71" s="178">
        <v>45966</v>
      </c>
    </row>
    <row r="72" spans="1:50" x14ac:dyDescent="0.3">
      <c r="A72" s="178">
        <v>45967</v>
      </c>
    </row>
    <row r="73" spans="1:50" x14ac:dyDescent="0.3">
      <c r="A73" s="178">
        <v>45968</v>
      </c>
    </row>
    <row r="74" spans="1:50" x14ac:dyDescent="0.3">
      <c r="A74" s="178">
        <v>45969</v>
      </c>
    </row>
    <row r="75" spans="1:50" x14ac:dyDescent="0.3">
      <c r="A75" s="178">
        <v>45970</v>
      </c>
    </row>
    <row r="76" spans="1:50" x14ac:dyDescent="0.3">
      <c r="A76" s="178">
        <v>45971</v>
      </c>
    </row>
    <row r="77" spans="1:50" x14ac:dyDescent="0.3">
      <c r="A77" s="178">
        <v>45972</v>
      </c>
    </row>
    <row r="78" spans="1:50" x14ac:dyDescent="0.3">
      <c r="A78" s="178">
        <v>45973</v>
      </c>
    </row>
    <row r="79" spans="1:50" x14ac:dyDescent="0.3">
      <c r="A79" s="178">
        <v>45974</v>
      </c>
    </row>
    <row r="80" spans="1:50" x14ac:dyDescent="0.3">
      <c r="A80" s="178">
        <v>45975</v>
      </c>
    </row>
    <row r="81" spans="1:1" x14ac:dyDescent="0.3">
      <c r="A81" s="178">
        <v>45976</v>
      </c>
    </row>
    <row r="82" spans="1:1" x14ac:dyDescent="0.3">
      <c r="A82" s="178">
        <v>45977</v>
      </c>
    </row>
    <row r="83" spans="1:1" x14ac:dyDescent="0.3">
      <c r="A83" s="178">
        <v>45978</v>
      </c>
    </row>
    <row r="84" spans="1:1" x14ac:dyDescent="0.3">
      <c r="A84" s="178">
        <v>45979</v>
      </c>
    </row>
    <row r="85" spans="1:1" x14ac:dyDescent="0.3">
      <c r="A85" s="178">
        <v>45980</v>
      </c>
    </row>
    <row r="86" spans="1:1" x14ac:dyDescent="0.3">
      <c r="A86" s="178">
        <v>45981</v>
      </c>
    </row>
    <row r="87" spans="1:1" x14ac:dyDescent="0.3">
      <c r="A87" s="178">
        <v>45982</v>
      </c>
    </row>
    <row r="88" spans="1:1" x14ac:dyDescent="0.3">
      <c r="A88" s="178">
        <v>45983</v>
      </c>
    </row>
    <row r="89" spans="1:1" x14ac:dyDescent="0.3">
      <c r="A89" s="178">
        <v>45984</v>
      </c>
    </row>
    <row r="90" spans="1:1" x14ac:dyDescent="0.3">
      <c r="A90" s="178">
        <v>45985</v>
      </c>
    </row>
    <row r="91" spans="1:1" x14ac:dyDescent="0.3">
      <c r="A91" s="178">
        <v>45986</v>
      </c>
    </row>
    <row r="92" spans="1:1" x14ac:dyDescent="0.3">
      <c r="A92" s="178">
        <v>45987</v>
      </c>
    </row>
    <row r="93" spans="1:1" x14ac:dyDescent="0.3">
      <c r="A93" s="178">
        <v>45988</v>
      </c>
    </row>
    <row r="94" spans="1:1" x14ac:dyDescent="0.3">
      <c r="A94" s="178">
        <v>45989</v>
      </c>
    </row>
    <row r="95" spans="1:1" x14ac:dyDescent="0.3">
      <c r="A95" s="178">
        <v>45990</v>
      </c>
    </row>
    <row r="96" spans="1:1" x14ac:dyDescent="0.3">
      <c r="A96" s="178">
        <v>45991</v>
      </c>
    </row>
    <row r="97" spans="1:1" x14ac:dyDescent="0.3">
      <c r="A97" s="178">
        <v>45992</v>
      </c>
    </row>
    <row r="98" spans="1:1" x14ac:dyDescent="0.3">
      <c r="A98" s="178">
        <v>45993</v>
      </c>
    </row>
    <row r="99" spans="1:1" x14ac:dyDescent="0.3">
      <c r="A99" s="178">
        <v>45994</v>
      </c>
    </row>
    <row r="100" spans="1:1" x14ac:dyDescent="0.3">
      <c r="A100" s="178">
        <v>45995</v>
      </c>
    </row>
    <row r="101" spans="1:1" x14ac:dyDescent="0.3">
      <c r="A101" s="178">
        <v>45996</v>
      </c>
    </row>
    <row r="102" spans="1:1" x14ac:dyDescent="0.3">
      <c r="A102" s="178">
        <v>45997</v>
      </c>
    </row>
    <row r="103" spans="1:1" x14ac:dyDescent="0.3">
      <c r="A103" s="178">
        <v>45998</v>
      </c>
    </row>
    <row r="104" spans="1:1" x14ac:dyDescent="0.3">
      <c r="A104" s="178">
        <v>45999</v>
      </c>
    </row>
    <row r="105" spans="1:1" x14ac:dyDescent="0.3">
      <c r="A105" s="178">
        <v>46000</v>
      </c>
    </row>
    <row r="106" spans="1:1" x14ac:dyDescent="0.3">
      <c r="A106" s="178">
        <v>46001</v>
      </c>
    </row>
    <row r="107" spans="1:1" x14ac:dyDescent="0.3">
      <c r="A107" s="178">
        <v>46002</v>
      </c>
    </row>
    <row r="108" spans="1:1" x14ac:dyDescent="0.3">
      <c r="A108" s="178">
        <v>46003</v>
      </c>
    </row>
    <row r="109" spans="1:1" x14ac:dyDescent="0.3">
      <c r="A109" s="178">
        <v>46004</v>
      </c>
    </row>
    <row r="110" spans="1:1" x14ac:dyDescent="0.3">
      <c r="A110" s="178">
        <v>46005</v>
      </c>
    </row>
    <row r="111" spans="1:1" x14ac:dyDescent="0.3">
      <c r="A111" s="178">
        <v>46006</v>
      </c>
    </row>
    <row r="112" spans="1:1" x14ac:dyDescent="0.3">
      <c r="A112" s="178">
        <v>46007</v>
      </c>
    </row>
    <row r="113" spans="1:1" x14ac:dyDescent="0.3">
      <c r="A113" s="178">
        <v>46008</v>
      </c>
    </row>
    <row r="114" spans="1:1" x14ac:dyDescent="0.3">
      <c r="A114" s="178">
        <v>46009</v>
      </c>
    </row>
    <row r="115" spans="1:1" x14ac:dyDescent="0.3">
      <c r="A115" s="178">
        <v>46010</v>
      </c>
    </row>
    <row r="116" spans="1:1" x14ac:dyDescent="0.3">
      <c r="A116" s="178">
        <v>46011</v>
      </c>
    </row>
    <row r="117" spans="1:1" x14ac:dyDescent="0.3">
      <c r="A117" s="178">
        <v>46012</v>
      </c>
    </row>
    <row r="118" spans="1:1" x14ac:dyDescent="0.3">
      <c r="A118" s="178">
        <v>46013</v>
      </c>
    </row>
    <row r="119" spans="1:1" x14ac:dyDescent="0.3">
      <c r="A119" s="178">
        <v>46014</v>
      </c>
    </row>
    <row r="120" spans="1:1" x14ac:dyDescent="0.3">
      <c r="A120" s="178">
        <v>46015</v>
      </c>
    </row>
    <row r="121" spans="1:1" x14ac:dyDescent="0.3">
      <c r="A121" s="178">
        <v>46016</v>
      </c>
    </row>
    <row r="122" spans="1:1" x14ac:dyDescent="0.3">
      <c r="A122" s="178">
        <v>46017</v>
      </c>
    </row>
    <row r="123" spans="1:1" x14ac:dyDescent="0.3">
      <c r="A123" s="178">
        <v>46018</v>
      </c>
    </row>
    <row r="124" spans="1:1" x14ac:dyDescent="0.3">
      <c r="A124" s="178">
        <v>46019</v>
      </c>
    </row>
    <row r="125" spans="1:1" x14ac:dyDescent="0.3">
      <c r="A125" s="178">
        <v>46020</v>
      </c>
    </row>
    <row r="126" spans="1:1" x14ac:dyDescent="0.3">
      <c r="A126" s="178">
        <v>46021</v>
      </c>
    </row>
    <row r="127" spans="1:1" x14ac:dyDescent="0.3">
      <c r="A127" s="178">
        <v>46022</v>
      </c>
    </row>
    <row r="128" spans="1:1" x14ac:dyDescent="0.3">
      <c r="A128" s="178">
        <v>46023</v>
      </c>
    </row>
    <row r="129" spans="1:1" x14ac:dyDescent="0.3">
      <c r="A129" s="178">
        <v>46024</v>
      </c>
    </row>
    <row r="130" spans="1:1" x14ac:dyDescent="0.3">
      <c r="A130" s="178">
        <v>46025</v>
      </c>
    </row>
    <row r="131" spans="1:1" x14ac:dyDescent="0.3">
      <c r="A131" s="178">
        <v>46026</v>
      </c>
    </row>
    <row r="132" spans="1:1" x14ac:dyDescent="0.3">
      <c r="A132" s="178">
        <v>46027</v>
      </c>
    </row>
    <row r="133" spans="1:1" x14ac:dyDescent="0.3">
      <c r="A133" s="178">
        <v>46028</v>
      </c>
    </row>
    <row r="134" spans="1:1" x14ac:dyDescent="0.3">
      <c r="A134" s="178">
        <v>46029</v>
      </c>
    </row>
    <row r="135" spans="1:1" x14ac:dyDescent="0.3">
      <c r="A135" s="178">
        <v>46030</v>
      </c>
    </row>
    <row r="136" spans="1:1" x14ac:dyDescent="0.3">
      <c r="A136" s="178">
        <v>46031</v>
      </c>
    </row>
    <row r="137" spans="1:1" x14ac:dyDescent="0.3">
      <c r="A137" s="178">
        <v>46032</v>
      </c>
    </row>
    <row r="138" spans="1:1" x14ac:dyDescent="0.3">
      <c r="A138" s="178">
        <v>46033</v>
      </c>
    </row>
    <row r="139" spans="1:1" x14ac:dyDescent="0.3">
      <c r="A139" s="178">
        <v>46034</v>
      </c>
    </row>
    <row r="140" spans="1:1" x14ac:dyDescent="0.3">
      <c r="A140" s="178">
        <v>46035</v>
      </c>
    </row>
    <row r="141" spans="1:1" x14ac:dyDescent="0.3">
      <c r="A141" s="178">
        <v>46036</v>
      </c>
    </row>
  </sheetData>
  <mergeCells count="8">
    <mergeCell ref="AB3:AG3"/>
    <mergeCell ref="AH3:AO3"/>
    <mergeCell ref="AP3:AX3"/>
    <mergeCell ref="B3:C3"/>
    <mergeCell ref="D3:R3"/>
    <mergeCell ref="S3:U3"/>
    <mergeCell ref="V3:X3"/>
    <mergeCell ref="Y3:Z3"/>
  </mergeCells>
  <conditionalFormatting sqref="Y5:AA68">
    <cfRule type="cellIs" dxfId="5" priority="1" operator="lessThan">
      <formula>0</formula>
    </cfRule>
    <cfRule type="cellIs" dxfId="4" priority="2" operator="greaterThan">
      <formula>0</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D7AFF-82C3-4876-A866-2DFC7CDD5A6D}">
  <dimension ref="B3:K25"/>
  <sheetViews>
    <sheetView workbookViewId="0">
      <selection activeCell="F11" sqref="F11"/>
    </sheetView>
  </sheetViews>
  <sheetFormatPr defaultRowHeight="14.4" x14ac:dyDescent="0.3"/>
  <cols>
    <col min="1" max="1" width="6.109375" customWidth="1"/>
    <col min="2" max="2" width="21.33203125" bestFit="1" customWidth="1"/>
    <col min="3" max="3" width="6.33203125" bestFit="1" customWidth="1"/>
    <col min="4" max="4" width="11.109375" bestFit="1" customWidth="1"/>
    <col min="5" max="5" width="11" bestFit="1" customWidth="1"/>
    <col min="6" max="6" width="7.77734375" bestFit="1" customWidth="1"/>
    <col min="7" max="7" width="13.88671875" bestFit="1" customWidth="1"/>
    <col min="8" max="8" width="12.109375" bestFit="1" customWidth="1"/>
    <col min="9" max="9" width="10.21875" bestFit="1" customWidth="1"/>
    <col min="10" max="10" width="13.21875" bestFit="1" customWidth="1"/>
    <col min="11" max="11" width="13.33203125" bestFit="1" customWidth="1"/>
  </cols>
  <sheetData>
    <row r="3" spans="2:11" ht="30" customHeight="1" x14ac:dyDescent="0.3">
      <c r="B3" s="12" t="s">
        <v>25</v>
      </c>
      <c r="C3" s="2" t="s">
        <v>27</v>
      </c>
      <c r="D3" s="2" t="s">
        <v>28</v>
      </c>
      <c r="E3" s="2" t="s">
        <v>29</v>
      </c>
      <c r="F3" s="2" t="s">
        <v>30</v>
      </c>
      <c r="G3" s="2" t="s">
        <v>31</v>
      </c>
      <c r="H3" s="2" t="s">
        <v>350</v>
      </c>
      <c r="I3" s="2" t="s">
        <v>351</v>
      </c>
      <c r="J3" s="2" t="s">
        <v>352</v>
      </c>
      <c r="K3" s="2" t="s">
        <v>353</v>
      </c>
    </row>
    <row r="4" spans="2:11" x14ac:dyDescent="0.3">
      <c r="B4" s="13" t="s">
        <v>32</v>
      </c>
      <c r="C4" s="203"/>
      <c r="D4" s="6"/>
      <c r="E4" s="14"/>
      <c r="F4" s="14"/>
      <c r="G4" s="14"/>
      <c r="H4" s="203"/>
      <c r="I4" s="203"/>
      <c r="J4" s="6"/>
      <c r="K4" s="6"/>
    </row>
    <row r="5" spans="2:11" x14ac:dyDescent="0.3">
      <c r="B5" s="13" t="s">
        <v>33</v>
      </c>
      <c r="C5" s="203">
        <v>130</v>
      </c>
      <c r="D5" s="6">
        <v>16.66</v>
      </c>
      <c r="E5" s="14">
        <v>5.2</v>
      </c>
      <c r="F5" s="14">
        <v>14.3</v>
      </c>
      <c r="G5" s="14">
        <v>-2.3599999999999994</v>
      </c>
      <c r="H5" s="203">
        <v>49</v>
      </c>
      <c r="I5" s="203">
        <v>0</v>
      </c>
      <c r="J5" s="6">
        <v>0.3790087463556851</v>
      </c>
      <c r="K5" s="6">
        <v>0</v>
      </c>
    </row>
    <row r="6" spans="2:11" x14ac:dyDescent="0.3">
      <c r="B6" s="13" t="s">
        <v>34</v>
      </c>
      <c r="C6" s="203">
        <v>295</v>
      </c>
      <c r="D6" s="6">
        <v>26.238317483540602</v>
      </c>
      <c r="E6" s="14">
        <v>11.8</v>
      </c>
      <c r="F6" s="14">
        <v>32.450000000000003</v>
      </c>
      <c r="G6" s="14">
        <v>6.2116825164593976</v>
      </c>
      <c r="H6" s="203">
        <v>76</v>
      </c>
      <c r="I6" s="203">
        <v>14</v>
      </c>
      <c r="J6" s="6">
        <v>1.8295739348370927</v>
      </c>
      <c r="K6" s="6">
        <v>1.9183174835405998</v>
      </c>
    </row>
    <row r="7" spans="2:11" x14ac:dyDescent="0.3">
      <c r="B7" s="13" t="s">
        <v>35</v>
      </c>
      <c r="C7" s="203">
        <v>251</v>
      </c>
      <c r="D7" s="6">
        <v>8.6324286759326991</v>
      </c>
      <c r="E7" s="14">
        <v>10.040000000000001</v>
      </c>
      <c r="F7" s="14">
        <v>27.610000000000003</v>
      </c>
      <c r="G7" s="14">
        <v>18.977571324067299</v>
      </c>
      <c r="H7" s="203">
        <v>0</v>
      </c>
      <c r="I7" s="203">
        <v>63</v>
      </c>
      <c r="J7" s="6">
        <v>2.6672553636839349</v>
      </c>
      <c r="K7" s="6">
        <v>8.6324286759326991</v>
      </c>
    </row>
    <row r="8" spans="2:11" x14ac:dyDescent="0.3">
      <c r="B8" s="13" t="s">
        <v>55</v>
      </c>
      <c r="C8" s="203">
        <v>200</v>
      </c>
      <c r="D8" s="6">
        <v>9.7286100950987553</v>
      </c>
      <c r="E8" s="14">
        <v>8</v>
      </c>
      <c r="F8" s="14">
        <v>22.310400000000001</v>
      </c>
      <c r="G8" s="14">
        <v>12.581789904901242</v>
      </c>
      <c r="H8" s="203">
        <v>0</v>
      </c>
      <c r="I8" s="203">
        <v>71</v>
      </c>
      <c r="J8" s="6">
        <v>1.6976190476190476</v>
      </c>
      <c r="K8" s="6">
        <v>9.7286100950987553</v>
      </c>
    </row>
    <row r="9" spans="2:11" x14ac:dyDescent="0.3">
      <c r="B9" s="13" t="s">
        <v>349</v>
      </c>
      <c r="C9" s="203">
        <v>138</v>
      </c>
      <c r="D9" s="6">
        <v>8.7694513533284564</v>
      </c>
      <c r="E9" s="14">
        <v>5.52</v>
      </c>
      <c r="F9" s="14">
        <v>15.4008</v>
      </c>
      <c r="G9" s="14">
        <v>6.6313486466715439</v>
      </c>
      <c r="H9" s="203">
        <v>0</v>
      </c>
      <c r="I9" s="203">
        <v>64</v>
      </c>
      <c r="J9" s="6">
        <v>1.1352369450195536</v>
      </c>
      <c r="K9" s="6">
        <v>8.7694513533284564</v>
      </c>
    </row>
    <row r="10" spans="2:11" x14ac:dyDescent="0.3">
      <c r="B10" s="13" t="s">
        <v>356</v>
      </c>
      <c r="C10" s="203">
        <v>485</v>
      </c>
      <c r="D10" s="6">
        <v>19.94310899780541</v>
      </c>
      <c r="E10" s="14">
        <v>19.399999999999999</v>
      </c>
      <c r="F10" s="14">
        <v>53.28</v>
      </c>
      <c r="G10" s="14">
        <v>33.336891002194584</v>
      </c>
      <c r="H10" s="203">
        <v>18</v>
      </c>
      <c r="I10" s="203">
        <v>93</v>
      </c>
      <c r="J10" s="6">
        <v>2.8568194900781689</v>
      </c>
      <c r="K10" s="6">
        <v>12.743108997805413</v>
      </c>
    </row>
    <row r="11" spans="2:11" x14ac:dyDescent="0.3">
      <c r="B11" s="13" t="s">
        <v>365</v>
      </c>
      <c r="C11" s="203">
        <v>156</v>
      </c>
      <c r="D11" s="6">
        <v>5.6179297732260425</v>
      </c>
      <c r="E11" s="14">
        <v>6.2399999999999993</v>
      </c>
      <c r="F11" s="14">
        <v>16.847999999999999</v>
      </c>
      <c r="G11" s="14">
        <v>11.230070226773959</v>
      </c>
      <c r="H11" s="203">
        <v>0</v>
      </c>
      <c r="I11" s="203">
        <v>41</v>
      </c>
      <c r="J11" s="6">
        <v>1.4819714447043639</v>
      </c>
      <c r="K11" s="6">
        <v>5.6179297732260425</v>
      </c>
    </row>
    <row r="12" spans="2:11" x14ac:dyDescent="0.3">
      <c r="B12" s="13" t="s">
        <v>367</v>
      </c>
      <c r="C12" s="203">
        <v>120</v>
      </c>
      <c r="D12" s="6">
        <v>4.3847256766642282</v>
      </c>
      <c r="E12" s="14">
        <v>4.8000000000000007</v>
      </c>
      <c r="F12" s="14">
        <v>12.960000000000003</v>
      </c>
      <c r="G12" s="14">
        <v>8.5752743233357727</v>
      </c>
      <c r="H12" s="203">
        <v>0</v>
      </c>
      <c r="I12" s="203">
        <v>32</v>
      </c>
      <c r="J12" s="6">
        <v>1.6242424242424243</v>
      </c>
      <c r="K12" s="6">
        <v>4.3847256766642282</v>
      </c>
    </row>
    <row r="13" spans="2:11" x14ac:dyDescent="0.3">
      <c r="B13" s="13" t="s">
        <v>368</v>
      </c>
      <c r="C13" s="203">
        <v>0</v>
      </c>
      <c r="D13" s="6">
        <v>0</v>
      </c>
      <c r="E13" s="14">
        <v>0</v>
      </c>
      <c r="F13" s="14">
        <v>0</v>
      </c>
      <c r="G13" s="14">
        <v>0</v>
      </c>
      <c r="H13" s="203">
        <v>0</v>
      </c>
      <c r="I13" s="203">
        <v>0</v>
      </c>
      <c r="J13" s="6">
        <v>0</v>
      </c>
      <c r="K13" s="6">
        <v>0</v>
      </c>
    </row>
    <row r="14" spans="2:11" x14ac:dyDescent="0.3">
      <c r="B14" s="13" t="s">
        <v>369</v>
      </c>
      <c r="C14" s="203">
        <v>0</v>
      </c>
      <c r="D14" s="6">
        <v>0</v>
      </c>
      <c r="E14" s="14">
        <v>0</v>
      </c>
      <c r="F14" s="14">
        <v>0</v>
      </c>
      <c r="G14" s="14">
        <v>0</v>
      </c>
      <c r="H14" s="203">
        <v>0</v>
      </c>
      <c r="I14" s="203">
        <v>0</v>
      </c>
      <c r="J14" s="6">
        <v>0</v>
      </c>
      <c r="K14" s="6">
        <v>0</v>
      </c>
    </row>
    <row r="15" spans="2:11" x14ac:dyDescent="0.3">
      <c r="B15" s="13" t="s">
        <v>370</v>
      </c>
      <c r="C15" s="203"/>
      <c r="D15" s="6"/>
      <c r="E15" s="14"/>
      <c r="F15" s="14"/>
      <c r="G15" s="14"/>
      <c r="H15" s="203"/>
      <c r="I15" s="203"/>
      <c r="J15" s="6"/>
      <c r="K15" s="6"/>
    </row>
    <row r="16" spans="2:11" x14ac:dyDescent="0.3">
      <c r="B16" s="13" t="s">
        <v>371</v>
      </c>
      <c r="C16" s="203"/>
      <c r="D16" s="6"/>
      <c r="E16" s="14"/>
      <c r="F16" s="14"/>
      <c r="G16" s="14"/>
      <c r="H16" s="203"/>
      <c r="I16" s="203"/>
      <c r="J16" s="6"/>
      <c r="K16" s="6"/>
    </row>
    <row r="17" spans="2:11" x14ac:dyDescent="0.3">
      <c r="B17" s="13" t="s">
        <v>372</v>
      </c>
      <c r="C17" s="203"/>
      <c r="D17" s="6"/>
      <c r="E17" s="14"/>
      <c r="F17" s="14"/>
      <c r="G17" s="14"/>
      <c r="H17" s="203"/>
      <c r="I17" s="203"/>
      <c r="J17" s="6"/>
      <c r="K17" s="6"/>
    </row>
    <row r="18" spans="2:11" x14ac:dyDescent="0.3">
      <c r="B18" s="13" t="s">
        <v>373</v>
      </c>
      <c r="C18" s="203"/>
      <c r="D18" s="6"/>
      <c r="E18" s="14"/>
      <c r="F18" s="14"/>
      <c r="G18" s="14"/>
      <c r="H18" s="203"/>
      <c r="I18" s="203"/>
      <c r="J18" s="6"/>
      <c r="K18" s="6"/>
    </row>
    <row r="19" spans="2:11" x14ac:dyDescent="0.3">
      <c r="B19" s="13" t="s">
        <v>374</v>
      </c>
      <c r="C19" s="203"/>
      <c r="D19" s="6"/>
      <c r="E19" s="14"/>
      <c r="F19" s="14"/>
      <c r="G19" s="14"/>
      <c r="H19" s="203"/>
      <c r="I19" s="203"/>
      <c r="J19" s="6"/>
      <c r="K19" s="6"/>
    </row>
    <row r="20" spans="2:11" x14ac:dyDescent="0.3">
      <c r="B20" s="13" t="s">
        <v>375</v>
      </c>
      <c r="C20" s="203"/>
      <c r="D20" s="6"/>
      <c r="E20" s="14"/>
      <c r="F20" s="14"/>
      <c r="G20" s="14"/>
      <c r="H20" s="203"/>
      <c r="I20" s="203"/>
      <c r="J20" s="6"/>
      <c r="K20" s="6"/>
    </row>
    <row r="21" spans="2:11" x14ac:dyDescent="0.3">
      <c r="B21" s="13" t="s">
        <v>376</v>
      </c>
      <c r="C21" s="203"/>
      <c r="D21" s="6"/>
      <c r="E21" s="14"/>
      <c r="F21" s="14"/>
      <c r="G21" s="14"/>
      <c r="H21" s="203"/>
      <c r="I21" s="203"/>
      <c r="J21" s="6"/>
      <c r="K21" s="6"/>
    </row>
    <row r="22" spans="2:11" x14ac:dyDescent="0.3">
      <c r="B22" s="13" t="s">
        <v>377</v>
      </c>
      <c r="C22" s="203"/>
      <c r="D22" s="6"/>
      <c r="E22" s="14"/>
      <c r="F22" s="14"/>
      <c r="G22" s="14"/>
      <c r="H22" s="203"/>
      <c r="I22" s="203"/>
      <c r="J22" s="6"/>
      <c r="K22" s="6"/>
    </row>
    <row r="23" spans="2:11" x14ac:dyDescent="0.3">
      <c r="B23" s="13" t="s">
        <v>378</v>
      </c>
      <c r="C23" s="203"/>
      <c r="D23" s="6"/>
      <c r="E23" s="14"/>
      <c r="F23" s="14"/>
      <c r="G23" s="14"/>
      <c r="H23" s="203"/>
      <c r="I23" s="203"/>
      <c r="J23" s="6"/>
      <c r="K23" s="6"/>
    </row>
    <row r="24" spans="2:11" x14ac:dyDescent="0.3">
      <c r="B24" s="13" t="s">
        <v>379</v>
      </c>
      <c r="C24" s="203"/>
      <c r="D24" s="6"/>
      <c r="E24" s="14"/>
      <c r="F24" s="14"/>
      <c r="G24" s="14"/>
      <c r="H24" s="203"/>
      <c r="I24" s="203"/>
      <c r="J24" s="6"/>
      <c r="K24" s="6"/>
    </row>
    <row r="25" spans="2:11" x14ac:dyDescent="0.3">
      <c r="B25" s="13" t="s">
        <v>24</v>
      </c>
      <c r="C25" s="203">
        <v>1775</v>
      </c>
      <c r="D25" s="6">
        <v>99.974572055596212</v>
      </c>
      <c r="E25" s="14">
        <v>70.999999999999986</v>
      </c>
      <c r="F25" s="14">
        <v>195.1592</v>
      </c>
      <c r="G25" s="14">
        <v>95.184627944403772</v>
      </c>
      <c r="H25" s="203">
        <v>143</v>
      </c>
      <c r="I25" s="203">
        <v>378</v>
      </c>
      <c r="J25" s="6">
        <v>1.4953451839965921</v>
      </c>
      <c r="K25" s="6">
        <v>51.794572055596198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162FD-39C6-49F1-9AAC-48D2A5045A0B}">
  <dimension ref="A1:E41"/>
  <sheetViews>
    <sheetView zoomScale="80" zoomScaleNormal="80" workbookViewId="0">
      <selection activeCell="G21" sqref="G21:G28"/>
    </sheetView>
  </sheetViews>
  <sheetFormatPr defaultRowHeight="14.4" x14ac:dyDescent="0.3"/>
  <cols>
    <col min="1" max="1" width="21.33203125" customWidth="1"/>
    <col min="2" max="2" width="18.77734375" bestFit="1" customWidth="1"/>
    <col min="3" max="3" width="21.21875" customWidth="1"/>
    <col min="4" max="4" width="78.21875" bestFit="1" customWidth="1"/>
    <col min="5" max="6" width="18.5546875" customWidth="1"/>
  </cols>
  <sheetData>
    <row r="1" spans="3:5" x14ac:dyDescent="0.3">
      <c r="C1" s="4">
        <v>25</v>
      </c>
      <c r="D1" s="18" t="s">
        <v>22</v>
      </c>
    </row>
    <row r="2" spans="3:5" x14ac:dyDescent="0.3">
      <c r="C2" s="108">
        <v>0.8</v>
      </c>
      <c r="D2" s="18" t="s">
        <v>23</v>
      </c>
    </row>
    <row r="3" spans="3:5" x14ac:dyDescent="0.3">
      <c r="C3" s="4">
        <v>182.03</v>
      </c>
      <c r="D3" s="18" t="s">
        <v>52</v>
      </c>
    </row>
    <row r="4" spans="3:5" x14ac:dyDescent="0.3">
      <c r="C4" s="3">
        <f>Total_KWs/Total_GallonsGas</f>
        <v>7.3380281690140849</v>
      </c>
      <c r="D4" t="s">
        <v>53</v>
      </c>
    </row>
    <row r="5" spans="3:5" x14ac:dyDescent="0.3">
      <c r="C5" s="3">
        <f>C4*Cost_PerKWh_Home_ChargeStats</f>
        <v>1.0055465923121834</v>
      </c>
      <c r="D5" t="s">
        <v>364</v>
      </c>
    </row>
    <row r="6" spans="3:5" x14ac:dyDescent="0.3">
      <c r="C6" s="3">
        <f>'Charge Stats'!P2</f>
        <v>3.4069097888675626</v>
      </c>
      <c r="D6" t="s">
        <v>58</v>
      </c>
    </row>
    <row r="7" spans="3:5" x14ac:dyDescent="0.3">
      <c r="C7" s="14">
        <f>ChargeStats_AvgPricePerGallonoOfGas</f>
        <v>2.7437931034482768</v>
      </c>
      <c r="D7" t="s">
        <v>245</v>
      </c>
    </row>
    <row r="8" spans="3:5" x14ac:dyDescent="0.3">
      <c r="C8" s="1">
        <f>_xlfn.MINIFS(ChargeStats_Date_Range,ChargeStats_OdometerMiles_Range,"&gt;0")</f>
        <v>45905</v>
      </c>
      <c r="D8" t="s">
        <v>126</v>
      </c>
      <c r="E8" s="1"/>
    </row>
    <row r="9" spans="3:5" x14ac:dyDescent="0.3">
      <c r="C9" s="1">
        <f>_xlfn.MAXIFS(ChargeStats_Date_Range,ChargeStats_OdometerMiles_Range,"&gt;0")</f>
        <v>45952</v>
      </c>
      <c r="D9" t="s">
        <v>128</v>
      </c>
      <c r="E9" s="1"/>
    </row>
    <row r="10" spans="3:5" x14ac:dyDescent="0.3">
      <c r="C10">
        <f>C9-C8</f>
        <v>47</v>
      </c>
      <c r="D10" t="s">
        <v>127</v>
      </c>
    </row>
    <row r="11" spans="3:5" x14ac:dyDescent="0.3">
      <c r="C11" s="8">
        <f>1-'Gas Chemistry'!B147</f>
        <v>0.7</v>
      </c>
      <c r="D11" t="s">
        <v>130</v>
      </c>
    </row>
    <row r="12" spans="3:5" x14ac:dyDescent="0.3">
      <c r="C12" s="41">
        <f>'Gas Chemistry'!D53</f>
        <v>0.10714285714285714</v>
      </c>
      <c r="D12" s="41" t="s">
        <v>177</v>
      </c>
    </row>
    <row r="13" spans="3:5" x14ac:dyDescent="0.3">
      <c r="C13" s="109">
        <v>3412</v>
      </c>
      <c r="D13" t="s">
        <v>286</v>
      </c>
    </row>
    <row r="14" spans="3:5" x14ac:dyDescent="0.3">
      <c r="C14" s="14">
        <f>C13/C18</f>
        <v>3.4119999999999999</v>
      </c>
      <c r="D14" t="s">
        <v>287</v>
      </c>
    </row>
    <row r="15" spans="3:5" x14ac:dyDescent="0.3">
      <c r="C15">
        <f>C16*(1-C11)</f>
        <v>34.500000000000007</v>
      </c>
      <c r="D15" t="s">
        <v>253</v>
      </c>
    </row>
    <row r="16" spans="3:5" x14ac:dyDescent="0.3">
      <c r="C16">
        <f>C17/C18</f>
        <v>115</v>
      </c>
      <c r="D16" t="s">
        <v>249</v>
      </c>
    </row>
    <row r="17" spans="1:4" x14ac:dyDescent="0.3">
      <c r="C17" s="109">
        <v>115000</v>
      </c>
      <c r="D17" s="18" t="s">
        <v>181</v>
      </c>
    </row>
    <row r="18" spans="1:4" x14ac:dyDescent="0.3">
      <c r="C18" s="109">
        <v>1000</v>
      </c>
      <c r="D18" s="18" t="s">
        <v>180</v>
      </c>
    </row>
    <row r="19" spans="1:4" x14ac:dyDescent="0.3">
      <c r="C19" s="110">
        <v>0.13367999999999999</v>
      </c>
      <c r="D19" s="18" t="s">
        <v>250</v>
      </c>
    </row>
    <row r="21" spans="1:4" x14ac:dyDescent="0.3">
      <c r="A21" s="190" t="s">
        <v>248</v>
      </c>
      <c r="B21" s="190"/>
      <c r="C21" s="190"/>
      <c r="D21" s="190"/>
    </row>
    <row r="22" spans="1:4" x14ac:dyDescent="0.3">
      <c r="A22" s="103" t="s">
        <v>226</v>
      </c>
      <c r="B22" s="103" t="s">
        <v>224</v>
      </c>
      <c r="C22" s="102" t="s">
        <v>225</v>
      </c>
      <c r="D22" s="103" t="s">
        <v>247</v>
      </c>
    </row>
    <row r="23" spans="1:4" x14ac:dyDescent="0.3">
      <c r="A23" s="86">
        <f t="shared" ref="A23:A32" si="0">B23*$C$16</f>
        <v>13.455</v>
      </c>
      <c r="B23" s="87">
        <f>'Gas Chemistry'!$C$122</f>
        <v>0.11700000000000001</v>
      </c>
      <c r="C23" s="88">
        <f>'Gas Chemistry'!$B$11</f>
        <v>19.600000000000001</v>
      </c>
      <c r="D23" s="99" t="s">
        <v>68</v>
      </c>
    </row>
    <row r="24" spans="1:4" x14ac:dyDescent="0.3">
      <c r="A24" s="89">
        <f t="shared" si="0"/>
        <v>16.559999999999999</v>
      </c>
      <c r="B24" s="90">
        <f>'Gas Chemistry'!$C$123</f>
        <v>0.14399999999999999</v>
      </c>
      <c r="C24" s="91">
        <f>'Gas Chemistry'!$B$12</f>
        <v>8</v>
      </c>
      <c r="D24" s="100" t="s">
        <v>71</v>
      </c>
    </row>
    <row r="25" spans="1:4" x14ac:dyDescent="0.3">
      <c r="A25" s="89">
        <f t="shared" si="0"/>
        <v>540.5</v>
      </c>
      <c r="B25" s="90">
        <f>'Gas Chemistry'!$C$127</f>
        <v>4.7</v>
      </c>
      <c r="C25" s="91">
        <v>0</v>
      </c>
      <c r="D25" s="100" t="str">
        <f>'Gas Chemistry'!A127&amp;'Gas Chemistry'!B127</f>
        <v xml:space="preserve"> **Nitrogen**       N₂              </v>
      </c>
    </row>
    <row r="26" spans="1:4" x14ac:dyDescent="0.3">
      <c r="A26" s="92">
        <f t="shared" si="0"/>
        <v>9.6600000000000002E-3</v>
      </c>
      <c r="B26" s="93">
        <f>'Gas Chemistry'!$C$124</f>
        <v>8.3999999999999995E-5</v>
      </c>
      <c r="C26" s="94">
        <f>'Gas Chemistry'!$B$13</f>
        <v>0.02</v>
      </c>
      <c r="D26" s="100" t="s">
        <v>74</v>
      </c>
    </row>
    <row r="27" spans="1:4" x14ac:dyDescent="0.3">
      <c r="A27" s="92">
        <f t="shared" si="0"/>
        <v>1.15E-2</v>
      </c>
      <c r="B27" s="93">
        <f>'Gas Chemistry'!$C$126</f>
        <v>1E-4</v>
      </c>
      <c r="C27" s="94">
        <f>'Gas Chemistry'!$B$14</f>
        <v>0.01</v>
      </c>
      <c r="D27" s="100" t="s">
        <v>77</v>
      </c>
    </row>
    <row r="28" spans="1:4" x14ac:dyDescent="0.3">
      <c r="A28" s="92">
        <f t="shared" si="0"/>
        <v>5.750000000000001E-4</v>
      </c>
      <c r="B28" s="93">
        <f>'Gas Chemistry'!$C$125</f>
        <v>5.0000000000000004E-6</v>
      </c>
      <c r="C28" s="94">
        <f>'Gas Chemistry'!$B$15</f>
        <v>2E-3</v>
      </c>
      <c r="D28" s="100" t="s">
        <v>80</v>
      </c>
    </row>
    <row r="29" spans="1:4" x14ac:dyDescent="0.3">
      <c r="A29" s="92">
        <f t="shared" si="0"/>
        <v>0</v>
      </c>
      <c r="B29" s="93">
        <v>0</v>
      </c>
      <c r="C29" s="94">
        <f>'Gas Chemistry'!$B$16</f>
        <v>1E-3</v>
      </c>
      <c r="D29" s="100" t="s">
        <v>83</v>
      </c>
    </row>
    <row r="30" spans="1:4" x14ac:dyDescent="0.3">
      <c r="A30" s="92">
        <f t="shared" si="0"/>
        <v>0</v>
      </c>
      <c r="B30" s="93">
        <v>0</v>
      </c>
      <c r="C30" s="94">
        <f>'Gas Chemistry'!$B$17</f>
        <v>4.0000000000000001E-3</v>
      </c>
      <c r="D30" s="100" t="s">
        <v>86</v>
      </c>
    </row>
    <row r="31" spans="1:4" ht="15" thickBot="1" x14ac:dyDescent="0.35">
      <c r="A31" s="95">
        <f t="shared" si="0"/>
        <v>570.53673500000002</v>
      </c>
      <c r="B31" s="43">
        <f>SUM(B23:B30)</f>
        <v>4.9611890000000001</v>
      </c>
      <c r="C31" s="36">
        <f>SUM(C23:C30)</f>
        <v>27.637000000000004</v>
      </c>
      <c r="D31" s="100" t="s">
        <v>105</v>
      </c>
    </row>
    <row r="32" spans="1:4" ht="15" thickTop="1" x14ac:dyDescent="0.3">
      <c r="A32" s="96">
        <f t="shared" si="0"/>
        <v>2.1735000000000001E-2</v>
      </c>
      <c r="B32" s="97">
        <f>SUM(B26:B30)</f>
        <v>1.8900000000000001E-4</v>
      </c>
      <c r="C32" s="98">
        <f>SUM(C26:C30)</f>
        <v>3.7000000000000005E-2</v>
      </c>
      <c r="D32" s="101" t="s">
        <v>123</v>
      </c>
    </row>
    <row r="34" spans="3:4" x14ac:dyDescent="0.3">
      <c r="C34">
        <f>C40</f>
        <v>1398.4399999999998</v>
      </c>
      <c r="D34" s="25" t="s">
        <v>234</v>
      </c>
    </row>
    <row r="35" spans="3:4" x14ac:dyDescent="0.3">
      <c r="D35" s="25" t="s">
        <v>235</v>
      </c>
    </row>
    <row r="36" spans="3:4" ht="7.8" customHeight="1" x14ac:dyDescent="0.3"/>
    <row r="37" spans="3:4" ht="15" thickBot="1" x14ac:dyDescent="0.35">
      <c r="C37" s="29">
        <f>SUM(C34:C36)</f>
        <v>1398.4399999999998</v>
      </c>
      <c r="D37" t="s">
        <v>236</v>
      </c>
    </row>
    <row r="38" spans="3:4" ht="15" thickTop="1" x14ac:dyDescent="0.3">
      <c r="C38" s="3">
        <f>C37/C7</f>
        <v>509.67399773784069</v>
      </c>
      <c r="D38" t="s">
        <v>237</v>
      </c>
    </row>
    <row r="40" spans="3:4" x14ac:dyDescent="0.3">
      <c r="C40">
        <f>'[1]Budget 2025'!$AF$24*-1</f>
        <v>1398.4399999999998</v>
      </c>
      <c r="D40" t="s">
        <v>243</v>
      </c>
    </row>
    <row r="41" spans="3:4" x14ac:dyDescent="0.3">
      <c r="C41" s="3">
        <f>C40/C7</f>
        <v>509.67399773784069</v>
      </c>
      <c r="D41" t="s">
        <v>244</v>
      </c>
    </row>
  </sheetData>
  <mergeCells count="1">
    <mergeCell ref="A21:D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43862-DF2E-4916-8DC7-0C43BCFB89B8}">
  <sheetPr codeName="Sheet1"/>
  <dimension ref="A1:W30"/>
  <sheetViews>
    <sheetView workbookViewId="0">
      <selection activeCell="H25" sqref="H25"/>
    </sheetView>
  </sheetViews>
  <sheetFormatPr defaultRowHeight="14.4" x14ac:dyDescent="0.3"/>
  <cols>
    <col min="1" max="1" width="9.5546875" customWidth="1"/>
    <col min="2" max="2" width="12.33203125" customWidth="1"/>
    <col min="3" max="3" width="14" customWidth="1"/>
    <col min="4" max="4" width="14.5546875" customWidth="1"/>
    <col min="5" max="5" width="13.33203125" bestFit="1" customWidth="1"/>
    <col min="6" max="6" width="12" customWidth="1"/>
    <col min="7" max="7" width="13" customWidth="1"/>
    <col min="8" max="9" width="12.88671875" customWidth="1"/>
    <col min="10" max="10" width="17.6640625" customWidth="1"/>
    <col min="11" max="11" width="12.109375" bestFit="1" customWidth="1"/>
    <col min="12" max="12" width="13.33203125" bestFit="1" customWidth="1"/>
    <col min="13" max="13" width="11.109375" customWidth="1"/>
    <col min="21" max="21" width="11.5546875" bestFit="1" customWidth="1"/>
  </cols>
  <sheetData>
    <row r="1" spans="1:23" s="161" customFormat="1" ht="32.4" customHeight="1" x14ac:dyDescent="0.3">
      <c r="A1" s="163" t="s">
        <v>38</v>
      </c>
      <c r="B1" s="163" t="s">
        <v>36</v>
      </c>
      <c r="C1" s="163" t="s">
        <v>357</v>
      </c>
      <c r="D1" s="163" t="s">
        <v>342</v>
      </c>
      <c r="E1" s="163" t="s">
        <v>360</v>
      </c>
      <c r="F1" s="163" t="s">
        <v>359</v>
      </c>
      <c r="G1" s="163" t="s">
        <v>48</v>
      </c>
      <c r="H1" s="163" t="s">
        <v>358</v>
      </c>
      <c r="I1" s="163" t="s">
        <v>44</v>
      </c>
      <c r="J1" s="163" t="s">
        <v>362</v>
      </c>
      <c r="K1" s="163" t="s">
        <v>37</v>
      </c>
      <c r="L1" s="163" t="s">
        <v>343</v>
      </c>
      <c r="M1" s="163" t="s">
        <v>361</v>
      </c>
      <c r="V1" s="162">
        <v>365.39</v>
      </c>
    </row>
    <row r="2" spans="1:23" x14ac:dyDescent="0.3">
      <c r="A2">
        <v>1</v>
      </c>
      <c r="B2" s="160">
        <v>45505</v>
      </c>
      <c r="C2" s="1">
        <v>45511</v>
      </c>
      <c r="D2" s="1">
        <f>C3-1</f>
        <v>45541</v>
      </c>
      <c r="E2">
        <v>31</v>
      </c>
      <c r="F2">
        <v>1515</v>
      </c>
      <c r="G2" s="158">
        <f t="shared" ref="G2:G17" si="0">SUMIFS(ChargeStats_SuperChargerKWh_Range,ChargeStats_Date_Range,"&gt;="&amp;C2,ChargeStats_Date_Range,"&lt;="&amp;D2)</f>
        <v>0</v>
      </c>
      <c r="H2" s="158">
        <f t="shared" ref="H2:H17" si="1">SUMIFS(ChargeStats_HomeKWh_Range,ChargeStats_Date_Range,"&gt;="&amp;C2,ChargeStats_Date_Range,"&lt;="&amp;D2)</f>
        <v>0</v>
      </c>
      <c r="I2" s="158">
        <f>IF(F2&gt;0,F2-J2,0)</f>
        <v>1515</v>
      </c>
      <c r="J2" s="17">
        <f t="shared" ref="J2:J15" si="2">H2*M2</f>
        <v>0</v>
      </c>
      <c r="K2" s="17">
        <v>189.14</v>
      </c>
      <c r="L2" s="17">
        <f t="shared" ref="L2:L16" si="3">IFERROR(K2/E2,0)</f>
        <v>6.1012903225806445</v>
      </c>
      <c r="M2" s="15">
        <f t="shared" ref="M2:M15" si="4">IFERROR(K2/F2,M1)</f>
        <v>0.12484488448844884</v>
      </c>
      <c r="U2" t="s">
        <v>347</v>
      </c>
      <c r="V2" s="108">
        <v>0.2</v>
      </c>
    </row>
    <row r="3" spans="1:23" x14ac:dyDescent="0.3">
      <c r="A3">
        <v>2</v>
      </c>
      <c r="B3" s="160">
        <v>45536</v>
      </c>
      <c r="C3" s="1">
        <v>45542</v>
      </c>
      <c r="D3" s="1">
        <f t="shared" ref="D3:D16" si="5">C4-1</f>
        <v>45571</v>
      </c>
      <c r="E3">
        <v>30</v>
      </c>
      <c r="F3">
        <v>1146</v>
      </c>
      <c r="G3" s="158">
        <f t="shared" si="0"/>
        <v>0</v>
      </c>
      <c r="H3" s="158">
        <f t="shared" si="1"/>
        <v>0</v>
      </c>
      <c r="I3" s="158">
        <f t="shared" ref="I3:I17" si="6">IF(F3&gt;0,F3-J3,0)</f>
        <v>1146</v>
      </c>
      <c r="J3" s="17">
        <f t="shared" si="2"/>
        <v>0</v>
      </c>
      <c r="K3" s="17">
        <v>140.44999999999999</v>
      </c>
      <c r="L3" s="17">
        <f t="shared" si="3"/>
        <v>4.6816666666666666</v>
      </c>
      <c r="M3" s="15">
        <f t="shared" si="4"/>
        <v>0.1225567190226876</v>
      </c>
      <c r="U3" t="s">
        <v>345</v>
      </c>
      <c r="V3">
        <f xml:space="preserve"> V1 / (1 - V2)</f>
        <v>456.73749999999995</v>
      </c>
    </row>
    <row r="4" spans="1:23" x14ac:dyDescent="0.3">
      <c r="A4">
        <v>3</v>
      </c>
      <c r="B4" s="160">
        <v>45566</v>
      </c>
      <c r="C4" s="1">
        <v>45572</v>
      </c>
      <c r="D4" s="1">
        <f t="shared" si="5"/>
        <v>45601</v>
      </c>
      <c r="E4">
        <v>30</v>
      </c>
      <c r="F4">
        <v>767</v>
      </c>
      <c r="G4" s="158">
        <f t="shared" si="0"/>
        <v>0</v>
      </c>
      <c r="H4" s="158">
        <f t="shared" si="1"/>
        <v>0</v>
      </c>
      <c r="I4" s="158">
        <f t="shared" si="6"/>
        <v>767</v>
      </c>
      <c r="J4" s="17">
        <f t="shared" si="2"/>
        <v>0</v>
      </c>
      <c r="K4" s="17">
        <v>95.24</v>
      </c>
      <c r="L4" s="17">
        <f t="shared" si="3"/>
        <v>3.1746666666666665</v>
      </c>
      <c r="M4" s="15">
        <f t="shared" si="4"/>
        <v>0.12417209908735331</v>
      </c>
      <c r="U4" t="s">
        <v>346</v>
      </c>
      <c r="V4" s="4">
        <v>17</v>
      </c>
      <c r="W4" t="s">
        <v>348</v>
      </c>
    </row>
    <row r="5" spans="1:23" x14ac:dyDescent="0.3">
      <c r="A5">
        <v>4</v>
      </c>
      <c r="B5" s="160">
        <v>45597</v>
      </c>
      <c r="C5" s="1">
        <v>45602</v>
      </c>
      <c r="D5" s="1">
        <f t="shared" si="5"/>
        <v>45631</v>
      </c>
      <c r="E5">
        <v>30</v>
      </c>
      <c r="F5">
        <v>677</v>
      </c>
      <c r="G5" s="158">
        <f t="shared" si="0"/>
        <v>0</v>
      </c>
      <c r="H5" s="158">
        <f t="shared" si="1"/>
        <v>0</v>
      </c>
      <c r="I5" s="158">
        <f t="shared" si="6"/>
        <v>677</v>
      </c>
      <c r="J5" s="17">
        <f t="shared" si="2"/>
        <v>0</v>
      </c>
      <c r="K5" s="17">
        <v>85.21</v>
      </c>
      <c r="L5" s="17">
        <f t="shared" si="3"/>
        <v>2.8403333333333332</v>
      </c>
      <c r="M5" s="15">
        <f t="shared" si="4"/>
        <v>0.12586410635155096</v>
      </c>
      <c r="U5" t="s">
        <v>344</v>
      </c>
      <c r="V5">
        <f>V3/V4</f>
        <v>26.866911764705879</v>
      </c>
    </row>
    <row r="6" spans="1:23" x14ac:dyDescent="0.3">
      <c r="A6">
        <v>5</v>
      </c>
      <c r="B6" s="160">
        <v>45627</v>
      </c>
      <c r="C6" s="1">
        <v>45632</v>
      </c>
      <c r="D6" s="1">
        <f t="shared" si="5"/>
        <v>45663</v>
      </c>
      <c r="E6">
        <v>33</v>
      </c>
      <c r="F6">
        <v>937</v>
      </c>
      <c r="G6" s="158">
        <f t="shared" si="0"/>
        <v>0</v>
      </c>
      <c r="H6" s="158">
        <f t="shared" si="1"/>
        <v>0</v>
      </c>
      <c r="I6" s="158">
        <f t="shared" si="6"/>
        <v>937</v>
      </c>
      <c r="J6" s="17">
        <f t="shared" si="2"/>
        <v>0</v>
      </c>
      <c r="K6" s="17">
        <v>126.17</v>
      </c>
      <c r="L6" s="17">
        <f t="shared" si="3"/>
        <v>3.8233333333333333</v>
      </c>
      <c r="M6" s="15">
        <f t="shared" si="4"/>
        <v>0.13465314834578443</v>
      </c>
    </row>
    <row r="7" spans="1:23" x14ac:dyDescent="0.3">
      <c r="A7">
        <v>6</v>
      </c>
      <c r="B7" s="160">
        <v>45658</v>
      </c>
      <c r="C7" s="1">
        <v>45664</v>
      </c>
      <c r="D7" s="1">
        <f t="shared" si="5"/>
        <v>45694</v>
      </c>
      <c r="E7">
        <v>30</v>
      </c>
      <c r="F7">
        <v>749</v>
      </c>
      <c r="G7" s="158">
        <f t="shared" si="0"/>
        <v>0</v>
      </c>
      <c r="H7" s="158">
        <f t="shared" si="1"/>
        <v>0</v>
      </c>
      <c r="I7" s="158">
        <f t="shared" si="6"/>
        <v>749</v>
      </c>
      <c r="J7" s="17">
        <f t="shared" si="2"/>
        <v>0</v>
      </c>
      <c r="K7" s="17">
        <v>102.95</v>
      </c>
      <c r="L7" s="17">
        <f t="shared" si="3"/>
        <v>3.4316666666666666</v>
      </c>
      <c r="M7" s="15">
        <f t="shared" si="4"/>
        <v>0.13744993324432578</v>
      </c>
    </row>
    <row r="8" spans="1:23" x14ac:dyDescent="0.3">
      <c r="A8">
        <v>7</v>
      </c>
      <c r="B8" s="160">
        <v>45689</v>
      </c>
      <c r="C8" s="1">
        <v>45695</v>
      </c>
      <c r="D8" s="1">
        <f t="shared" si="5"/>
        <v>45722</v>
      </c>
      <c r="E8">
        <v>28</v>
      </c>
      <c r="F8">
        <v>542</v>
      </c>
      <c r="G8" s="158">
        <f t="shared" si="0"/>
        <v>0</v>
      </c>
      <c r="H8" s="158">
        <f t="shared" si="1"/>
        <v>0</v>
      </c>
      <c r="I8" s="158">
        <f t="shared" si="6"/>
        <v>542</v>
      </c>
      <c r="J8" s="17">
        <f t="shared" si="2"/>
        <v>0</v>
      </c>
      <c r="K8" s="17">
        <v>77.23</v>
      </c>
      <c r="L8" s="17">
        <f t="shared" si="3"/>
        <v>2.7582142857142857</v>
      </c>
      <c r="M8" s="15">
        <f t="shared" si="4"/>
        <v>0.14249077490774908</v>
      </c>
    </row>
    <row r="9" spans="1:23" x14ac:dyDescent="0.3">
      <c r="A9">
        <v>8</v>
      </c>
      <c r="B9" s="160">
        <v>45717</v>
      </c>
      <c r="C9" s="1">
        <v>45723</v>
      </c>
      <c r="D9" s="1">
        <f t="shared" si="5"/>
        <v>45753</v>
      </c>
      <c r="E9">
        <v>31</v>
      </c>
      <c r="F9">
        <v>678</v>
      </c>
      <c r="G9" s="158">
        <f t="shared" si="0"/>
        <v>0</v>
      </c>
      <c r="H9" s="158">
        <f t="shared" si="1"/>
        <v>0</v>
      </c>
      <c r="I9" s="158">
        <f t="shared" si="6"/>
        <v>678</v>
      </c>
      <c r="J9" s="17">
        <f t="shared" si="2"/>
        <v>0</v>
      </c>
      <c r="K9" s="17">
        <v>94.13</v>
      </c>
      <c r="L9" s="17">
        <f t="shared" si="3"/>
        <v>3.0364516129032255</v>
      </c>
      <c r="M9" s="15">
        <f t="shared" si="4"/>
        <v>0.13883480825958702</v>
      </c>
    </row>
    <row r="10" spans="1:23" x14ac:dyDescent="0.3">
      <c r="A10">
        <v>9</v>
      </c>
      <c r="B10" s="160">
        <v>45748</v>
      </c>
      <c r="C10" s="1">
        <v>45754</v>
      </c>
      <c r="D10" s="1">
        <f t="shared" si="5"/>
        <v>45783</v>
      </c>
      <c r="E10">
        <v>30</v>
      </c>
      <c r="F10">
        <v>822</v>
      </c>
      <c r="G10" s="158">
        <f t="shared" si="0"/>
        <v>0</v>
      </c>
      <c r="H10" s="158">
        <f t="shared" si="1"/>
        <v>0</v>
      </c>
      <c r="I10" s="158">
        <f t="shared" si="6"/>
        <v>822</v>
      </c>
      <c r="J10" s="17">
        <f t="shared" si="2"/>
        <v>0</v>
      </c>
      <c r="K10" s="17">
        <v>112.02</v>
      </c>
      <c r="L10" s="17">
        <f t="shared" si="3"/>
        <v>3.734</v>
      </c>
      <c r="M10" s="15">
        <f t="shared" si="4"/>
        <v>0.13627737226277373</v>
      </c>
    </row>
    <row r="11" spans="1:23" x14ac:dyDescent="0.3">
      <c r="A11">
        <v>10</v>
      </c>
      <c r="B11" s="160">
        <v>45778</v>
      </c>
      <c r="C11" s="1">
        <v>45784</v>
      </c>
      <c r="D11" s="1">
        <f t="shared" si="5"/>
        <v>45813</v>
      </c>
      <c r="E11">
        <v>30</v>
      </c>
      <c r="F11">
        <v>1162</v>
      </c>
      <c r="G11" s="158">
        <f t="shared" si="0"/>
        <v>0</v>
      </c>
      <c r="H11" s="158">
        <f t="shared" si="1"/>
        <v>0</v>
      </c>
      <c r="I11" s="158">
        <f t="shared" si="6"/>
        <v>1162</v>
      </c>
      <c r="J11" s="17">
        <f t="shared" si="2"/>
        <v>0</v>
      </c>
      <c r="K11" s="17">
        <v>157.61000000000001</v>
      </c>
      <c r="L11" s="17">
        <f t="shared" si="3"/>
        <v>5.2536666666666667</v>
      </c>
      <c r="M11" s="15">
        <f t="shared" si="4"/>
        <v>0.13563683304647162</v>
      </c>
    </row>
    <row r="12" spans="1:23" x14ac:dyDescent="0.3">
      <c r="A12">
        <v>11</v>
      </c>
      <c r="B12" s="160">
        <v>45809</v>
      </c>
      <c r="C12" s="1">
        <v>45814</v>
      </c>
      <c r="D12" s="1">
        <f t="shared" si="5"/>
        <v>45845</v>
      </c>
      <c r="E12">
        <v>32</v>
      </c>
      <c r="F12">
        <v>1379</v>
      </c>
      <c r="G12" s="158">
        <f t="shared" si="0"/>
        <v>0</v>
      </c>
      <c r="H12" s="158">
        <f t="shared" si="1"/>
        <v>0</v>
      </c>
      <c r="I12" s="158">
        <f t="shared" si="6"/>
        <v>1379</v>
      </c>
      <c r="J12" s="17">
        <f t="shared" si="2"/>
        <v>0</v>
      </c>
      <c r="K12" s="17">
        <v>189.06</v>
      </c>
      <c r="L12" s="17">
        <f t="shared" si="3"/>
        <v>5.9081250000000001</v>
      </c>
      <c r="M12" s="15">
        <f t="shared" si="4"/>
        <v>0.13709934735315446</v>
      </c>
    </row>
    <row r="13" spans="1:23" x14ac:dyDescent="0.3">
      <c r="A13">
        <v>12</v>
      </c>
      <c r="B13" s="160">
        <v>45839</v>
      </c>
      <c r="C13" s="1">
        <v>45846</v>
      </c>
      <c r="D13" s="1">
        <f t="shared" si="5"/>
        <v>45875</v>
      </c>
      <c r="E13">
        <v>30</v>
      </c>
      <c r="F13">
        <v>1361</v>
      </c>
      <c r="G13" s="158">
        <f t="shared" si="0"/>
        <v>0</v>
      </c>
      <c r="H13" s="158">
        <f t="shared" si="1"/>
        <v>0</v>
      </c>
      <c r="I13" s="158">
        <f t="shared" si="6"/>
        <v>1361</v>
      </c>
      <c r="J13" s="17">
        <f t="shared" si="2"/>
        <v>0</v>
      </c>
      <c r="K13" s="17">
        <v>186.43</v>
      </c>
      <c r="L13" s="17">
        <f t="shared" si="3"/>
        <v>6.2143333333333333</v>
      </c>
      <c r="M13" s="15">
        <f t="shared" si="4"/>
        <v>0.13698016164584864</v>
      </c>
    </row>
    <row r="14" spans="1:23" x14ac:dyDescent="0.3">
      <c r="A14">
        <v>13</v>
      </c>
      <c r="B14" s="160">
        <v>45870</v>
      </c>
      <c r="C14" s="1">
        <v>45876</v>
      </c>
      <c r="D14" s="1">
        <f t="shared" si="5"/>
        <v>45907</v>
      </c>
      <c r="E14">
        <v>32</v>
      </c>
      <c r="F14">
        <v>1379</v>
      </c>
      <c r="G14" s="158">
        <f t="shared" si="0"/>
        <v>49</v>
      </c>
      <c r="H14" s="158">
        <f t="shared" si="1"/>
        <v>0</v>
      </c>
      <c r="I14" s="158">
        <f t="shared" si="6"/>
        <v>1379</v>
      </c>
      <c r="J14" s="17">
        <f t="shared" si="2"/>
        <v>0</v>
      </c>
      <c r="K14" s="17">
        <v>189.06</v>
      </c>
      <c r="L14" s="17">
        <f t="shared" si="3"/>
        <v>5.9081250000000001</v>
      </c>
      <c r="M14" s="15">
        <f t="shared" si="4"/>
        <v>0.13709934735315446</v>
      </c>
    </row>
    <row r="15" spans="1:23" x14ac:dyDescent="0.3">
      <c r="A15">
        <v>14</v>
      </c>
      <c r="B15" s="160">
        <v>45901</v>
      </c>
      <c r="C15" s="1">
        <v>45908</v>
      </c>
      <c r="D15" s="1">
        <f t="shared" si="5"/>
        <v>45938</v>
      </c>
      <c r="E15">
        <v>30</v>
      </c>
      <c r="F15">
        <v>1367</v>
      </c>
      <c r="G15" s="158">
        <f t="shared" si="0"/>
        <v>94</v>
      </c>
      <c r="H15" s="158">
        <f t="shared" si="1"/>
        <v>268</v>
      </c>
      <c r="I15" s="158">
        <f t="shared" si="6"/>
        <v>1330.2779224579372</v>
      </c>
      <c r="J15" s="17">
        <f t="shared" si="2"/>
        <v>36.722077542062912</v>
      </c>
      <c r="K15" s="17">
        <v>187.31</v>
      </c>
      <c r="L15" s="17">
        <f t="shared" si="3"/>
        <v>6.2436666666666669</v>
      </c>
      <c r="M15" s="15">
        <f t="shared" si="4"/>
        <v>0.13702267739575713</v>
      </c>
    </row>
    <row r="16" spans="1:23" x14ac:dyDescent="0.3">
      <c r="A16">
        <v>15</v>
      </c>
      <c r="B16" s="160">
        <v>45931</v>
      </c>
      <c r="C16" s="1">
        <v>45939</v>
      </c>
      <c r="D16" s="1">
        <f t="shared" si="5"/>
        <v>45967</v>
      </c>
      <c r="E16">
        <v>29</v>
      </c>
      <c r="G16" s="158">
        <f t="shared" si="0"/>
        <v>0</v>
      </c>
      <c r="H16" s="158">
        <f t="shared" si="1"/>
        <v>110</v>
      </c>
      <c r="I16" s="158">
        <f t="shared" si="6"/>
        <v>0</v>
      </c>
      <c r="J16" s="17">
        <f>H16*M16</f>
        <v>15.072494513533284</v>
      </c>
      <c r="K16" s="17"/>
      <c r="L16" s="17">
        <f t="shared" si="3"/>
        <v>0</v>
      </c>
      <c r="M16" s="15">
        <f>IFERROR(K16/F16,M15)</f>
        <v>0.13702267739575713</v>
      </c>
    </row>
    <row r="17" spans="1:13" x14ac:dyDescent="0.3">
      <c r="A17">
        <v>16</v>
      </c>
      <c r="B17" s="160">
        <v>45962</v>
      </c>
      <c r="C17" s="1">
        <v>45968</v>
      </c>
      <c r="G17" s="158">
        <f t="shared" si="0"/>
        <v>0</v>
      </c>
      <c r="H17" s="158">
        <f t="shared" si="1"/>
        <v>0</v>
      </c>
      <c r="I17" s="158">
        <f t="shared" si="6"/>
        <v>0</v>
      </c>
      <c r="J17" s="17">
        <f>H17*M17</f>
        <v>0</v>
      </c>
      <c r="K17" s="17"/>
      <c r="L17" s="17">
        <f>IFERROR(K17/E17,0)</f>
        <v>0</v>
      </c>
      <c r="M17" s="15">
        <f>IFERROR(K17/F17,M16)</f>
        <v>0.13702267739575713</v>
      </c>
    </row>
    <row r="18" spans="1:13" x14ac:dyDescent="0.3">
      <c r="A18">
        <v>17</v>
      </c>
      <c r="B18" s="160">
        <v>45992</v>
      </c>
    </row>
    <row r="19" spans="1:13" x14ac:dyDescent="0.3">
      <c r="A19">
        <v>18</v>
      </c>
      <c r="B19" s="160">
        <v>46023</v>
      </c>
    </row>
    <row r="20" spans="1:13" x14ac:dyDescent="0.3">
      <c r="A20">
        <v>19</v>
      </c>
      <c r="B20" s="160">
        <v>46054</v>
      </c>
    </row>
    <row r="21" spans="1:13" x14ac:dyDescent="0.3">
      <c r="A21">
        <v>20</v>
      </c>
      <c r="B21" s="160">
        <v>46082</v>
      </c>
    </row>
    <row r="22" spans="1:13" x14ac:dyDescent="0.3">
      <c r="A22">
        <v>21</v>
      </c>
      <c r="B22" s="160">
        <v>46113</v>
      </c>
    </row>
    <row r="23" spans="1:13" x14ac:dyDescent="0.3">
      <c r="A23">
        <v>22</v>
      </c>
      <c r="B23" s="160">
        <v>46143</v>
      </c>
    </row>
    <row r="24" spans="1:13" x14ac:dyDescent="0.3">
      <c r="A24">
        <v>23</v>
      </c>
      <c r="B24" s="160">
        <v>46174</v>
      </c>
    </row>
    <row r="25" spans="1:13" x14ac:dyDescent="0.3">
      <c r="A25">
        <v>24</v>
      </c>
      <c r="B25" s="160">
        <v>46204</v>
      </c>
    </row>
    <row r="26" spans="1:13" x14ac:dyDescent="0.3">
      <c r="A26">
        <v>25</v>
      </c>
      <c r="B26" s="160">
        <v>46235</v>
      </c>
    </row>
    <row r="27" spans="1:13" x14ac:dyDescent="0.3">
      <c r="A27">
        <v>26</v>
      </c>
      <c r="B27" s="160">
        <v>46266</v>
      </c>
    </row>
    <row r="28" spans="1:13" x14ac:dyDescent="0.3">
      <c r="A28">
        <v>27</v>
      </c>
      <c r="B28" s="160">
        <v>46296</v>
      </c>
    </row>
    <row r="29" spans="1:13" x14ac:dyDescent="0.3">
      <c r="A29">
        <v>28</v>
      </c>
      <c r="B29" s="160">
        <v>46327</v>
      </c>
    </row>
    <row r="30" spans="1:13" x14ac:dyDescent="0.3">
      <c r="A30">
        <v>29</v>
      </c>
      <c r="B30" s="160">
        <v>46357</v>
      </c>
    </row>
  </sheetData>
  <autoFilter ref="A1:M14" xr:uid="{4AA43862-DF2E-4916-8DC7-0C43BCFB89B8}">
    <sortState xmlns:xlrd2="http://schemas.microsoft.com/office/spreadsheetml/2017/richdata2" ref="A2:M14">
      <sortCondition ref="A1:A14"/>
    </sortState>
  </autoFilter>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DECDD-5611-4901-93A2-1127FB24387A}">
  <dimension ref="A1:P4"/>
  <sheetViews>
    <sheetView zoomScale="90" zoomScaleNormal="90" workbookViewId="0">
      <selection activeCell="N17" sqref="N17"/>
    </sheetView>
  </sheetViews>
  <sheetFormatPr defaultRowHeight="14.4" x14ac:dyDescent="0.3"/>
  <cols>
    <col min="2" max="2" width="11.21875" bestFit="1" customWidth="1"/>
    <col min="3" max="3" width="9.33203125" customWidth="1"/>
    <col min="7" max="7" width="15.44140625" customWidth="1"/>
    <col min="8" max="8" width="13.77734375" customWidth="1"/>
    <col min="9" max="9" width="12.5546875" customWidth="1"/>
    <col min="10" max="10" width="11.6640625" customWidth="1"/>
    <col min="11" max="13" width="15.44140625" customWidth="1"/>
    <col min="14" max="14" width="10.88671875" customWidth="1"/>
    <col min="15" max="15" width="9.77734375" customWidth="1"/>
    <col min="16" max="16" width="11.21875" customWidth="1"/>
  </cols>
  <sheetData>
    <row r="1" spans="1:16" x14ac:dyDescent="0.3">
      <c r="A1" s="150"/>
      <c r="B1" s="150"/>
      <c r="C1" s="193" t="e">
        <f>#REF!</f>
        <v>#REF!</v>
      </c>
      <c r="D1" s="193"/>
      <c r="E1" s="193"/>
      <c r="F1" s="122"/>
      <c r="G1" s="191" t="e">
        <f>#REF!</f>
        <v>#REF!</v>
      </c>
      <c r="H1" s="191"/>
      <c r="I1" s="191"/>
      <c r="J1" s="124"/>
      <c r="K1" s="192" t="e">
        <f>#REF!</f>
        <v>#REF!</v>
      </c>
      <c r="L1" s="192"/>
      <c r="M1" s="192"/>
      <c r="N1" s="194" t="e">
        <f>#REF!</f>
        <v>#REF!</v>
      </c>
      <c r="O1" s="195"/>
      <c r="P1" s="196"/>
    </row>
    <row r="2" spans="1:16" s="157" customFormat="1" ht="43.8" customHeight="1" x14ac:dyDescent="0.3">
      <c r="A2" s="151" t="s">
        <v>354</v>
      </c>
      <c r="B2" s="151" t="s">
        <v>355</v>
      </c>
      <c r="C2" s="152" t="str">
        <f>'Charge Stats'!D4</f>
        <v>Super Charger KWh</v>
      </c>
      <c r="D2" s="152" t="str">
        <f>'Charge Stats'!G4</f>
        <v>Home KWh</v>
      </c>
      <c r="E2" s="152" t="str">
        <f>'Charge Stats'!H4</f>
        <v>Total KWh</v>
      </c>
      <c r="F2" s="153" t="str">
        <f>J2</f>
        <v>Est Gas Cost</v>
      </c>
      <c r="G2" s="154" t="str">
        <f>'Charge Stats'!S4</f>
        <v>Charge Cost Super Chg</v>
      </c>
      <c r="H2" s="154" t="str">
        <f>'Charge Stats'!T4</f>
        <v>Charge Cost Home</v>
      </c>
      <c r="I2" s="154" t="str">
        <f>'Charge Stats'!U4</f>
        <v>Total Charge Cost</v>
      </c>
      <c r="J2" s="155" t="str">
        <f>'Charge Stats'!X4</f>
        <v>Est Gas Cost</v>
      </c>
      <c r="K2" s="156" t="str">
        <f>'Charge Stats'!AB4</f>
        <v>all Super Chg Cost</v>
      </c>
      <c r="L2" s="156" t="str">
        <f>'Charge Stats'!AC4</f>
        <v>all Gas Cost</v>
      </c>
      <c r="M2" s="156" t="str">
        <f>'Charge Stats'!AD4</f>
        <v>All Home Chg cost</v>
      </c>
      <c r="N2" s="145" t="str">
        <f>'Charge Stats'!Y4</f>
        <v>Charge / Gas Cost Difference</v>
      </c>
      <c r="O2" s="145" t="str">
        <f>'Charge Stats'!Z4</f>
        <v>% saving</v>
      </c>
      <c r="P2" s="145" t="str">
        <f>'Charge Stats'!AA4</f>
        <v>Home Chg Saving</v>
      </c>
    </row>
    <row r="3" spans="1:16" ht="15" thickBot="1" x14ac:dyDescent="0.35">
      <c r="A3" s="150">
        <v>45901</v>
      </c>
      <c r="B3" s="150">
        <v>46022</v>
      </c>
      <c r="C3" s="123">
        <f>SUMIFS(ChargeStats_SuperChargerKWh_Range,ChargeStats_Date_Range,"&gt;="&amp;$A$3,ChargeStats_Date_Range,"&lt;="&amp;$B$3)</f>
        <v>143</v>
      </c>
      <c r="D3" s="123">
        <f>SUMIFS(ChargeStats_HomeKWh_Range,ChargeStats_Date_Range,"&gt;="&amp;$A$3,ChargeStats_Date_Range,"&lt;="&amp;$B$3)</f>
        <v>378</v>
      </c>
      <c r="E3" s="123">
        <f>SUMIFS(ChargeStats_TotalKWh_Range,ChargeStats_Date_Range,"&gt;="&amp;$A$3,ChargeStats_Date_Range,"&lt;="&amp;$B$3)</f>
        <v>521</v>
      </c>
      <c r="F3" s="138">
        <f>SUMIFS(ChargeStats_EstGallonsOfGas_Range,ChargeStats_Date_Range,"&gt;="&amp;$A$3,ChargeStats_Date_Range,"&lt;="&amp;$B$3)</f>
        <v>70.999999999999986</v>
      </c>
      <c r="G3" s="120">
        <f>SUMIFS(ChargeStats_ChargeCostSuperCharger_Range,ChargeStats_Date_Range,"&gt;="&amp;$A$3,ChargeStats_Date_Range,"&lt;="&amp;$B$3)</f>
        <v>48.180000000000007</v>
      </c>
      <c r="H3" s="120">
        <f>SUMIFS(ChargeStats_ChargeCostHome_Range,ChargeStats_Date_Range,"&gt;="&amp;$A$3,ChargeStats_Date_Range,"&lt;="&amp;$B$3)</f>
        <v>51.794572055596198</v>
      </c>
      <c r="I3" s="120">
        <f>SUMIFS(ChargeStats_TotalChargeCost_Range,ChargeStats_Date_Range,"&gt;="&amp;$A$3,ChargeStats_Date_Range,"&lt;="&amp;$B$3)</f>
        <v>99.974572055596212</v>
      </c>
      <c r="J3" s="121">
        <f>SUMIFS(ChargeStats_EstGasCost_Range,ChargeStats_Date_Range,"&gt;="&amp;$A$3,ChargeStats_Date_Range,"&lt;="&amp;$B$3)</f>
        <v>195.1592</v>
      </c>
      <c r="K3" s="119" cm="1">
        <f t="array" ref="K3">SUMIFS(ChargeStats_AllSuperChgCost_Range,ChargeStats_Date_Range,"&gt;="&amp;$A$3,ChargeStats_Date_Range,"&lt;="&amp;$B$3)</f>
        <v>196.62999999999997</v>
      </c>
      <c r="L3" s="119" cm="1">
        <f t="array" ref="L3">SUMIFS(ChargeStats_AllGasCost_Range,ChargeStats_Date_Range,"&gt;="&amp;$A$3,ChargeStats_Date_Range,"&lt;="&amp;$B$3)</f>
        <v>195.1592</v>
      </c>
      <c r="M3" s="119" cm="1">
        <f t="array" ref="M3">SUMIFS(ChargeStats_AllHomeChg_Range,ChargeStats_Date_Range,"&gt;="&amp;$A$3,ChargeStats_Date_Range,"&lt;="&amp;$B$3)</f>
        <v>71.392571751101926</v>
      </c>
      <c r="N3" s="10">
        <f>'Charge Stats'!Y$2</f>
        <v>87.586288047537494</v>
      </c>
      <c r="O3" s="11">
        <f>'Charge Stats'!Z$2</f>
        <v>0.44960011352898349</v>
      </c>
      <c r="P3" s="10">
        <f>'Charge Stats'!AA$2</f>
        <v>96.65542794440384</v>
      </c>
    </row>
    <row r="4" spans="1:16" ht="15" thickTop="1" x14ac:dyDescent="0.3">
      <c r="A4" s="150">
        <v>45901</v>
      </c>
      <c r="B4" s="150">
        <v>46022</v>
      </c>
    </row>
  </sheetData>
  <mergeCells count="4">
    <mergeCell ref="G1:I1"/>
    <mergeCell ref="K1:M1"/>
    <mergeCell ref="C1:E1"/>
    <mergeCell ref="N1:P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27B37-AAFE-4B72-85F6-09222A4321AF}">
  <dimension ref="A1:AA44"/>
  <sheetViews>
    <sheetView zoomScale="80" zoomScaleNormal="80" workbookViewId="0"/>
  </sheetViews>
  <sheetFormatPr defaultRowHeight="14.4" x14ac:dyDescent="0.3"/>
  <cols>
    <col min="1" max="1" width="5.109375" customWidth="1"/>
    <col min="3" max="3" width="13.77734375" customWidth="1"/>
    <col min="10" max="10" width="19.21875" customWidth="1"/>
    <col min="11" max="11" width="15.77734375" customWidth="1"/>
    <col min="15" max="15" width="9.33203125" customWidth="1"/>
    <col min="18" max="18" width="19.109375" bestFit="1" customWidth="1"/>
    <col min="19" max="19" width="14" bestFit="1" customWidth="1"/>
    <col min="20" max="20" width="16.77734375" bestFit="1" customWidth="1"/>
    <col min="21" max="21" width="14" bestFit="1" customWidth="1"/>
    <col min="22" max="22" width="16.77734375" bestFit="1" customWidth="1"/>
    <col min="24" max="24" width="9.88671875" bestFit="1" customWidth="1"/>
  </cols>
  <sheetData>
    <row r="1" spans="1:27" x14ac:dyDescent="0.3">
      <c r="B1" s="14" t="s">
        <v>285</v>
      </c>
      <c r="C1" s="14" t="s">
        <v>68</v>
      </c>
      <c r="D1" s="14" t="s">
        <v>71</v>
      </c>
      <c r="E1" s="14" t="s">
        <v>74</v>
      </c>
      <c r="F1" s="14" t="s">
        <v>77</v>
      </c>
      <c r="G1" s="14" t="s">
        <v>80</v>
      </c>
      <c r="H1" s="14" t="s">
        <v>83</v>
      </c>
      <c r="I1" s="14" t="s">
        <v>86</v>
      </c>
      <c r="J1" s="14" t="s">
        <v>288</v>
      </c>
      <c r="K1" s="14" t="s">
        <v>285</v>
      </c>
      <c r="L1" s="14" t="s">
        <v>68</v>
      </c>
      <c r="M1" s="14" t="s">
        <v>71</v>
      </c>
      <c r="N1" s="14" t="s">
        <v>74</v>
      </c>
      <c r="O1" s="14" t="s">
        <v>77</v>
      </c>
      <c r="P1" s="14" t="s">
        <v>80</v>
      </c>
      <c r="Q1" s="14" t="s">
        <v>83</v>
      </c>
      <c r="R1" s="14" t="s">
        <v>86</v>
      </c>
      <c r="S1" s="14" t="s">
        <v>332</v>
      </c>
      <c r="T1" s="14" t="s">
        <v>333</v>
      </c>
      <c r="U1" s="14" t="s">
        <v>334</v>
      </c>
      <c r="V1" s="14" t="s">
        <v>335</v>
      </c>
      <c r="W1" s="14" t="s">
        <v>340</v>
      </c>
      <c r="X1" s="14" t="s">
        <v>341</v>
      </c>
    </row>
    <row r="2" spans="1:27" ht="18" x14ac:dyDescent="0.3">
      <c r="B2" s="118">
        <f>'Charge Stats'!AJ2</f>
        <v>0</v>
      </c>
      <c r="C2" s="14">
        <f>'Charge Stats'!AH2</f>
        <v>1391.6000000000001</v>
      </c>
      <c r="D2" s="14">
        <f>'Charge Stats'!AI2</f>
        <v>567.99999999999989</v>
      </c>
      <c r="E2" s="14">
        <f>'Charge Stats'!AK2</f>
        <v>1.42</v>
      </c>
      <c r="F2" s="14">
        <f>'Charge Stats'!AL2</f>
        <v>0.71</v>
      </c>
      <c r="G2" s="14">
        <f>'Charge Stats'!AM2</f>
        <v>0.14200000000000004</v>
      </c>
      <c r="H2" s="14">
        <f>'Charge Stats'!AN2</f>
        <v>7.1000000000000021E-2</v>
      </c>
      <c r="I2" s="14">
        <f>'Charge Stats'!AO2</f>
        <v>0.28400000000000009</v>
      </c>
      <c r="J2" s="14">
        <f>'Charge Stats'!AP2</f>
        <v>1777.6519999999998</v>
      </c>
      <c r="K2" s="14">
        <f>'Charge Stats'!AS2</f>
        <v>8354.9643999999989</v>
      </c>
      <c r="L2" s="14">
        <f>'Charge Stats'!AQ2</f>
        <v>207.98528400000001</v>
      </c>
      <c r="M2" s="14">
        <f>'Charge Stats'!AR2</f>
        <v>255.98188799999997</v>
      </c>
      <c r="N2" s="14">
        <f>'Charge Stats'!AT2</f>
        <v>0.14932276799999997</v>
      </c>
      <c r="O2" s="14">
        <f>'Charge Stats'!AU2</f>
        <v>0.17776520000000004</v>
      </c>
      <c r="P2" s="14">
        <f>'Charge Stats'!AV2</f>
        <v>8.8882599999999985E-3</v>
      </c>
      <c r="Q2" s="118">
        <f>'Charge Stats'!AW2</f>
        <v>0</v>
      </c>
      <c r="R2" s="118">
        <f>'Charge Stats'!AX2</f>
        <v>0</v>
      </c>
      <c r="S2" s="14">
        <f>C2</f>
        <v>1391.6000000000001</v>
      </c>
      <c r="T2" s="14">
        <f>L2</f>
        <v>207.98528400000001</v>
      </c>
      <c r="U2" s="126">
        <f>D2</f>
        <v>567.99999999999989</v>
      </c>
      <c r="V2" s="14">
        <f>M2</f>
        <v>255.98188799999997</v>
      </c>
      <c r="W2" s="118">
        <f>B2</f>
        <v>0</v>
      </c>
      <c r="X2" s="136">
        <f>K2</f>
        <v>8354.9643999999989</v>
      </c>
    </row>
    <row r="3" spans="1:27" x14ac:dyDescent="0.3">
      <c r="B3" s="14">
        <f>'Charge Stats'!AJ3</f>
        <v>0</v>
      </c>
      <c r="C3" s="14" t="str">
        <f>'Charge Stats'!AH3</f>
        <v>Gas Emission Saved (Lbs)</v>
      </c>
      <c r="D3" s="14">
        <f>'Charge Stats'!AI3</f>
        <v>0</v>
      </c>
      <c r="E3" s="14">
        <f>'Charge Stats'!AK3</f>
        <v>0</v>
      </c>
      <c r="F3" s="14">
        <f>'Charge Stats'!AL3</f>
        <v>0</v>
      </c>
      <c r="G3" s="14">
        <f>'Charge Stats'!AM3</f>
        <v>0</v>
      </c>
      <c r="H3" s="14">
        <f>'Charge Stats'!AN3</f>
        <v>0</v>
      </c>
      <c r="I3" s="14">
        <f>'Charge Stats'!AO3</f>
        <v>0</v>
      </c>
      <c r="J3" s="14" t="str">
        <f>'Charge Stats'!AP3</f>
        <v>Natural Gas Emission from Electric Power Plant (Lbs)</v>
      </c>
      <c r="K3" s="14">
        <f>'Charge Stats'!AS3</f>
        <v>0</v>
      </c>
      <c r="L3" s="14">
        <f>'Charge Stats'!AQ3</f>
        <v>0</v>
      </c>
      <c r="M3" s="14">
        <f>'Charge Stats'!AR3</f>
        <v>0</v>
      </c>
      <c r="N3" s="14">
        <f>'Charge Stats'!AT3</f>
        <v>0</v>
      </c>
      <c r="O3" s="14">
        <f>'Charge Stats'!AU3</f>
        <v>0</v>
      </c>
      <c r="P3" s="14">
        <f>'Charge Stats'!AV3</f>
        <v>0</v>
      </c>
      <c r="Q3" s="14">
        <f>'Charge Stats'!AW3</f>
        <v>0</v>
      </c>
      <c r="R3" s="14">
        <f>'Charge Stats'!AX3</f>
        <v>0</v>
      </c>
    </row>
    <row r="4" spans="1:27" s="2" customFormat="1" ht="29.4" customHeight="1" x14ac:dyDescent="0.3">
      <c r="B4" s="117" t="str">
        <f>'Charge Stats'!AJ4</f>
        <v xml:space="preserve">**Nitrogen**       N₂              </v>
      </c>
      <c r="C4" s="117" t="str">
        <f>'Charge Stats'!AH4</f>
        <v>Carbon dioxide (CO₂)</v>
      </c>
      <c r="D4" s="117" t="str">
        <f>'Charge Stats'!AI4</f>
        <v>Water vapor (H₂O)</v>
      </c>
      <c r="E4" s="117" t="str">
        <f>'Charge Stats'!AK4</f>
        <v>Carbon monoxide (CO)</v>
      </c>
      <c r="F4" s="117" t="str">
        <f>'Charge Stats'!AL4</f>
        <v>Nitrogen oxides (NOₓ)</v>
      </c>
      <c r="G4" s="117" t="str">
        <f>'Charge Stats'!AM4</f>
        <v>Unburned hydrocarbons (VOCs)</v>
      </c>
      <c r="H4" s="117" t="str">
        <f>'Charge Stats'!AN4</f>
        <v>Particulate matter (PM2.5)</v>
      </c>
      <c r="I4" s="117" t="str">
        <f>'Charge Stats'!AO4</f>
        <v>Sulfur dioxide (SO₂)</v>
      </c>
      <c r="J4" s="117" t="str">
        <f>'Charge Stats'!AP4</f>
        <v>cu Ft Natural Gas</v>
      </c>
      <c r="K4" s="117" t="str">
        <f>'Charge Stats'!AS4</f>
        <v xml:space="preserve">**Nitrogen**       N₂              </v>
      </c>
      <c r="L4" s="117" t="str">
        <f>'Charge Stats'!AQ4</f>
        <v>Carbon dioxide (CO₂)</v>
      </c>
      <c r="M4" s="117" t="str">
        <f>'Charge Stats'!AR4</f>
        <v>Water vapor (H₂O)</v>
      </c>
      <c r="N4" s="117" t="str">
        <f>'Charge Stats'!AT4</f>
        <v>Carbon monoxide (CO)</v>
      </c>
      <c r="O4" s="117" t="str">
        <f>'Charge Stats'!AU4</f>
        <v>Nitrogen oxides (NOₓ)</v>
      </c>
      <c r="P4" s="117" t="str">
        <f>'Charge Stats'!AV4</f>
        <v>Unburned hydrocarbons (VOCs)</v>
      </c>
      <c r="Q4" s="117" t="str">
        <f>'Charge Stats'!AW4</f>
        <v>Particulate matter (PM2.5)</v>
      </c>
      <c r="R4" s="117" t="str">
        <f>'Charge Stats'!AX4</f>
        <v>Sulfur dioxide (SO₂)</v>
      </c>
    </row>
    <row r="5" spans="1:27" x14ac:dyDescent="0.3">
      <c r="H5" t="e">
        <f>"Emissions from "&amp;Total_KWs&amp;" KWh at Electric Power Plant vs. "&amp;Total_GallonsGas&amp;" Gallons of Gas to go "&amp;#REF!&amp;" Miles"</f>
        <v>#REF!</v>
      </c>
    </row>
    <row r="6" spans="1:27" x14ac:dyDescent="0.3">
      <c r="H6" t="s">
        <v>331</v>
      </c>
    </row>
    <row r="7" spans="1:27" ht="18" x14ac:dyDescent="0.3">
      <c r="A7" s="9"/>
      <c r="B7" s="118"/>
      <c r="C7" s="14"/>
      <c r="D7" s="14"/>
      <c r="E7" s="14"/>
      <c r="F7" s="14"/>
      <c r="G7" s="14"/>
      <c r="H7" s="14"/>
      <c r="I7" s="14"/>
      <c r="J7" s="14"/>
      <c r="K7" s="14"/>
      <c r="L7" s="14"/>
      <c r="M7" s="14"/>
      <c r="N7" s="14"/>
      <c r="O7" s="14"/>
      <c r="P7" s="14"/>
      <c r="Q7" s="118"/>
      <c r="R7" s="118"/>
      <c r="S7" s="14"/>
      <c r="T7" s="14"/>
      <c r="U7" s="126"/>
      <c r="V7" s="14"/>
      <c r="W7" s="118"/>
      <c r="X7" s="136"/>
      <c r="Y7" s="9"/>
      <c r="Z7" s="9"/>
      <c r="AA7" s="9"/>
    </row>
    <row r="8" spans="1:27" x14ac:dyDescent="0.3">
      <c r="A8" s="9"/>
      <c r="B8" s="9"/>
      <c r="C8" s="9"/>
      <c r="D8" s="9"/>
      <c r="E8" s="9"/>
      <c r="F8" s="9"/>
      <c r="G8" s="9"/>
      <c r="H8" s="9"/>
      <c r="I8" s="9"/>
      <c r="J8" s="9"/>
      <c r="K8" s="9"/>
      <c r="L8" s="9"/>
      <c r="M8" s="9"/>
      <c r="N8" s="9"/>
      <c r="O8" s="9"/>
      <c r="P8" s="9"/>
      <c r="Q8" s="9"/>
      <c r="R8" s="9"/>
      <c r="S8" s="9"/>
      <c r="T8" s="9"/>
      <c r="U8" s="9"/>
      <c r="V8" s="9"/>
      <c r="W8" s="9"/>
      <c r="X8" s="9"/>
      <c r="Y8" s="9"/>
      <c r="Z8" s="9"/>
      <c r="AA8" s="9"/>
    </row>
    <row r="9" spans="1:27" x14ac:dyDescent="0.3">
      <c r="A9" s="9"/>
      <c r="B9" s="9"/>
      <c r="C9" s="9"/>
      <c r="D9" s="9"/>
      <c r="E9" s="9"/>
      <c r="F9" s="9"/>
      <c r="G9" s="9"/>
      <c r="H9" s="9"/>
      <c r="I9" s="9"/>
      <c r="J9" s="9"/>
      <c r="K9" s="9"/>
      <c r="L9" s="9"/>
      <c r="M9" s="9"/>
      <c r="N9" s="9"/>
      <c r="O9" s="9"/>
      <c r="P9" s="9"/>
      <c r="Q9" s="9"/>
      <c r="R9" s="9"/>
      <c r="S9" s="9"/>
      <c r="T9" s="9"/>
      <c r="U9" s="9"/>
      <c r="V9" s="9"/>
      <c r="W9" s="9"/>
      <c r="X9" s="9"/>
      <c r="Y9" s="9"/>
      <c r="Z9" s="9"/>
      <c r="AA9" s="9"/>
    </row>
    <row r="10" spans="1:27"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spans="1:27"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spans="1:27"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spans="1:27"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spans="1:27"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spans="1:27"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spans="1:27"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spans="1:27"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spans="1:27"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spans="1:27"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spans="1:27"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spans="1:27"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spans="1:27"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spans="1:27"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spans="1:27"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spans="1:27"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spans="1:27"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spans="1:27"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spans="1:27"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spans="1:27"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spans="1:27"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spans="1:21" x14ac:dyDescent="0.3">
      <c r="A33" s="9"/>
      <c r="B33" s="9"/>
      <c r="C33" s="9"/>
      <c r="D33" s="9"/>
      <c r="E33" s="9"/>
      <c r="F33" s="9"/>
      <c r="G33" s="9"/>
      <c r="H33" s="9"/>
      <c r="I33" s="9"/>
      <c r="J33" s="9"/>
      <c r="K33" s="9"/>
      <c r="L33" s="9"/>
      <c r="M33" s="9"/>
      <c r="N33" s="9"/>
      <c r="O33" s="9"/>
      <c r="P33" s="9"/>
      <c r="Q33" s="9"/>
      <c r="R33" s="9"/>
      <c r="S33" s="9"/>
      <c r="T33" s="9"/>
      <c r="U33" s="9"/>
    </row>
    <row r="34" spans="1:21" x14ac:dyDescent="0.3">
      <c r="A34" s="9"/>
      <c r="B34" s="9"/>
      <c r="C34" s="9"/>
      <c r="D34" s="9"/>
      <c r="E34" s="9"/>
      <c r="F34" s="9"/>
      <c r="G34" s="9"/>
      <c r="H34" s="9"/>
      <c r="I34" s="9"/>
      <c r="J34" s="9"/>
      <c r="K34" s="9"/>
      <c r="L34" s="9"/>
      <c r="M34" s="9"/>
      <c r="N34" s="9"/>
      <c r="O34" s="9"/>
      <c r="P34" s="9"/>
      <c r="Q34" s="9"/>
      <c r="R34" s="9"/>
      <c r="S34" s="9"/>
      <c r="T34" s="9"/>
      <c r="U34" s="9"/>
    </row>
    <row r="35" spans="1:21" x14ac:dyDescent="0.3">
      <c r="A35" s="9"/>
      <c r="B35" s="9"/>
      <c r="C35" s="9"/>
      <c r="D35" s="9"/>
      <c r="E35" s="9"/>
      <c r="F35" s="9"/>
      <c r="G35" s="9"/>
      <c r="H35" s="9"/>
      <c r="I35" s="9"/>
      <c r="J35" s="9"/>
      <c r="K35" s="9"/>
      <c r="L35" s="9"/>
      <c r="M35" s="9"/>
      <c r="N35" s="9"/>
      <c r="O35" s="9"/>
      <c r="P35" s="9"/>
      <c r="Q35" s="9"/>
      <c r="R35" s="9"/>
      <c r="S35" s="9"/>
      <c r="T35" s="9"/>
      <c r="U35" s="9"/>
    </row>
    <row r="36" spans="1:21" x14ac:dyDescent="0.3">
      <c r="A36" s="9"/>
      <c r="B36" s="9"/>
      <c r="C36" s="9"/>
      <c r="D36" s="9"/>
      <c r="E36" s="9"/>
      <c r="F36" s="9"/>
      <c r="G36" s="9"/>
      <c r="H36" s="9"/>
      <c r="I36" s="9"/>
      <c r="J36" s="9"/>
      <c r="K36" s="9"/>
      <c r="L36" s="9"/>
      <c r="M36" s="9"/>
      <c r="N36" s="9"/>
      <c r="O36" s="9"/>
      <c r="P36" s="9"/>
      <c r="Q36" s="9"/>
      <c r="R36" s="9"/>
      <c r="S36" s="9"/>
      <c r="T36" s="9"/>
      <c r="U36" s="9"/>
    </row>
    <row r="37" spans="1:21" x14ac:dyDescent="0.3">
      <c r="A37" s="9"/>
      <c r="B37" s="9"/>
      <c r="C37" s="9"/>
      <c r="D37" s="9"/>
      <c r="E37" s="9"/>
      <c r="F37" s="9"/>
      <c r="G37" s="9"/>
      <c r="H37" s="9"/>
      <c r="I37" s="9"/>
      <c r="J37" s="9"/>
      <c r="K37" s="9"/>
      <c r="L37" s="9"/>
      <c r="M37" s="9"/>
      <c r="N37" s="9"/>
      <c r="O37" s="9"/>
      <c r="P37" s="9"/>
      <c r="Q37" s="9"/>
      <c r="R37" s="9"/>
      <c r="S37" s="9"/>
      <c r="T37" s="9"/>
      <c r="U37" s="9"/>
    </row>
    <row r="38" spans="1:21" x14ac:dyDescent="0.3">
      <c r="A38" s="9"/>
      <c r="B38" s="9"/>
      <c r="C38" s="9"/>
      <c r="D38" s="9"/>
      <c r="E38" s="9"/>
      <c r="F38" s="9"/>
      <c r="G38" s="9"/>
      <c r="H38" s="9"/>
      <c r="I38" s="9"/>
      <c r="J38" s="9"/>
      <c r="K38" s="9"/>
      <c r="L38" s="9"/>
      <c r="M38" s="9"/>
      <c r="N38" s="9"/>
      <c r="O38" s="9"/>
      <c r="P38" s="9"/>
      <c r="Q38" s="9"/>
      <c r="R38" s="9"/>
      <c r="S38" s="9"/>
      <c r="T38" s="9"/>
      <c r="U38" s="9"/>
    </row>
    <row r="39" spans="1:21" x14ac:dyDescent="0.3">
      <c r="A39" s="9"/>
      <c r="B39" s="9"/>
      <c r="C39" s="9"/>
      <c r="D39" s="9"/>
      <c r="E39" s="9"/>
      <c r="F39" s="9"/>
      <c r="G39" s="9"/>
      <c r="H39" s="9"/>
      <c r="I39" s="9"/>
      <c r="J39" s="9"/>
      <c r="K39" s="9"/>
      <c r="L39" s="9"/>
      <c r="M39" s="9"/>
      <c r="N39" s="9"/>
      <c r="O39" s="9"/>
      <c r="P39" s="9"/>
      <c r="Q39" s="9"/>
      <c r="R39" s="9"/>
      <c r="S39" s="9"/>
      <c r="T39" s="9"/>
      <c r="U39" s="9"/>
    </row>
    <row r="40" spans="1:21" x14ac:dyDescent="0.3">
      <c r="A40" s="9"/>
      <c r="B40" s="9"/>
      <c r="C40" s="9"/>
      <c r="D40" s="9"/>
      <c r="E40" s="9"/>
      <c r="F40" s="9"/>
      <c r="G40" s="9"/>
      <c r="H40" s="9"/>
      <c r="I40" s="9"/>
      <c r="J40" s="9"/>
      <c r="K40" s="9"/>
      <c r="L40" s="9"/>
      <c r="M40" s="9"/>
      <c r="N40" s="9"/>
      <c r="O40" s="9"/>
      <c r="P40" s="9"/>
      <c r="Q40" s="9"/>
      <c r="R40" s="9"/>
      <c r="S40" s="9"/>
      <c r="T40" s="9"/>
      <c r="U40" s="9"/>
    </row>
    <row r="41" spans="1:21" x14ac:dyDescent="0.3">
      <c r="A41" s="9"/>
      <c r="B41" s="9"/>
      <c r="C41" s="9"/>
      <c r="D41" s="9"/>
      <c r="E41" s="9"/>
      <c r="F41" s="9"/>
      <c r="G41" s="9"/>
      <c r="H41" s="9"/>
      <c r="I41" s="9"/>
      <c r="J41" s="9"/>
      <c r="K41" s="9"/>
      <c r="L41" s="9"/>
      <c r="M41" s="9"/>
      <c r="N41" s="9"/>
      <c r="O41" s="9"/>
      <c r="P41" s="9"/>
      <c r="Q41" s="9"/>
      <c r="R41" s="9"/>
      <c r="S41" s="9"/>
      <c r="T41" s="9"/>
      <c r="U41" s="9"/>
    </row>
    <row r="42" spans="1:21" x14ac:dyDescent="0.3">
      <c r="A42" s="9"/>
      <c r="B42" s="9"/>
      <c r="C42" s="9"/>
      <c r="D42" s="9"/>
      <c r="E42" s="9"/>
      <c r="F42" s="9"/>
      <c r="G42" s="9"/>
      <c r="H42" s="9"/>
      <c r="I42" s="9"/>
      <c r="J42" s="9"/>
      <c r="K42" s="9"/>
      <c r="L42" s="9"/>
      <c r="M42" s="9"/>
      <c r="N42" s="9"/>
      <c r="O42" s="9"/>
      <c r="P42" s="9"/>
      <c r="Q42" s="9"/>
      <c r="R42" s="9"/>
      <c r="S42" s="9"/>
      <c r="T42" s="9"/>
      <c r="U42" s="9"/>
    </row>
    <row r="43" spans="1:21" x14ac:dyDescent="0.3">
      <c r="A43" s="9"/>
      <c r="B43" s="9"/>
      <c r="C43" s="9"/>
      <c r="D43" s="9"/>
      <c r="E43" s="9"/>
      <c r="F43" s="9"/>
      <c r="G43" s="9"/>
      <c r="H43" s="9"/>
      <c r="I43" s="9"/>
      <c r="J43" s="9"/>
      <c r="K43" s="9"/>
      <c r="L43" s="9"/>
      <c r="M43" s="9"/>
      <c r="N43" s="9"/>
      <c r="O43" s="9"/>
      <c r="P43" s="9"/>
      <c r="Q43" s="9"/>
      <c r="R43" s="9"/>
      <c r="S43" s="9"/>
      <c r="T43" s="9"/>
      <c r="U43" s="9"/>
    </row>
    <row r="44" spans="1:21" x14ac:dyDescent="0.3">
      <c r="A44" s="9"/>
      <c r="B44" s="9"/>
      <c r="C44" s="9"/>
      <c r="D44" s="9"/>
      <c r="E44" s="9"/>
      <c r="F44" s="9"/>
      <c r="G44" s="9"/>
      <c r="H44" s="9"/>
      <c r="I44" s="9"/>
      <c r="J44" s="9"/>
      <c r="K44" s="9"/>
      <c r="L44" s="9"/>
      <c r="M44" s="9"/>
      <c r="N44" s="9"/>
      <c r="O44" s="9"/>
      <c r="P44" s="9"/>
      <c r="Q44" s="9"/>
      <c r="R44" s="9"/>
      <c r="S44" s="9"/>
      <c r="T44" s="9"/>
      <c r="U44" s="9"/>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8A2E8-8178-4EF2-866D-82281A33DAC1}">
  <dimension ref="A1:AA50"/>
  <sheetViews>
    <sheetView zoomScale="80" zoomScaleNormal="80" workbookViewId="0">
      <selection activeCell="S1" sqref="S1"/>
    </sheetView>
  </sheetViews>
  <sheetFormatPr defaultRowHeight="14.4" x14ac:dyDescent="0.3"/>
  <cols>
    <col min="1" max="1" width="5.109375" customWidth="1"/>
    <col min="3" max="3" width="11" bestFit="1" customWidth="1"/>
    <col min="4" max="4" width="9.88671875" bestFit="1" customWidth="1"/>
    <col min="10" max="10" width="19.21875" customWidth="1"/>
    <col min="11" max="11" width="15.77734375" customWidth="1"/>
    <col min="12" max="13" width="9.88671875" bestFit="1" customWidth="1"/>
    <col min="15" max="15" width="9.33203125" customWidth="1"/>
    <col min="18" max="18" width="19.109375" bestFit="1" customWidth="1"/>
    <col min="19" max="19" width="14" bestFit="1" customWidth="1"/>
    <col min="20" max="20" width="16.77734375" bestFit="1" customWidth="1"/>
    <col min="21" max="21" width="14" bestFit="1" customWidth="1"/>
    <col min="22" max="22" width="16.77734375" bestFit="1" customWidth="1"/>
    <col min="24" max="24" width="11.88671875" bestFit="1" customWidth="1"/>
  </cols>
  <sheetData>
    <row r="1" spans="1:27" x14ac:dyDescent="0.3">
      <c r="B1" s="14" t="s">
        <v>285</v>
      </c>
      <c r="C1" s="14" t="s">
        <v>68</v>
      </c>
      <c r="D1" s="14" t="s">
        <v>71</v>
      </c>
      <c r="E1" s="14" t="s">
        <v>74</v>
      </c>
      <c r="F1" s="14" t="s">
        <v>77</v>
      </c>
      <c r="G1" s="14" t="s">
        <v>80</v>
      </c>
      <c r="H1" s="14" t="s">
        <v>83</v>
      </c>
      <c r="I1" s="14" t="s">
        <v>86</v>
      </c>
      <c r="J1" s="14" t="s">
        <v>288</v>
      </c>
      <c r="K1" s="14" t="s">
        <v>285</v>
      </c>
      <c r="L1" s="14" t="s">
        <v>68</v>
      </c>
      <c r="M1" s="14" t="s">
        <v>71</v>
      </c>
      <c r="N1" s="14" t="s">
        <v>74</v>
      </c>
      <c r="O1" s="14" t="s">
        <v>77</v>
      </c>
      <c r="P1" s="14" t="s">
        <v>80</v>
      </c>
      <c r="Q1" s="14" t="s">
        <v>83</v>
      </c>
      <c r="R1" s="14" t="s">
        <v>86</v>
      </c>
      <c r="S1" s="14" t="s">
        <v>332</v>
      </c>
      <c r="T1" s="14" t="s">
        <v>333</v>
      </c>
      <c r="U1" s="14" t="s">
        <v>334</v>
      </c>
      <c r="V1" s="14" t="s">
        <v>335</v>
      </c>
      <c r="W1" s="14" t="s">
        <v>340</v>
      </c>
      <c r="X1" s="14" t="s">
        <v>341</v>
      </c>
    </row>
    <row r="2" spans="1:27" ht="18" x14ac:dyDescent="0.3">
      <c r="B2" s="118">
        <f>Y20</f>
        <v>0</v>
      </c>
      <c r="C2" s="14">
        <f>Y18</f>
        <v>784</v>
      </c>
      <c r="D2" s="14">
        <f>Y19</f>
        <v>320</v>
      </c>
      <c r="E2" s="14">
        <f>Y21</f>
        <v>0.8</v>
      </c>
      <c r="F2" s="14">
        <f>Y22</f>
        <v>0.4</v>
      </c>
      <c r="G2" s="14">
        <f>Y23</f>
        <v>0.08</v>
      </c>
      <c r="H2" s="14">
        <f>Y24</f>
        <v>0.04</v>
      </c>
      <c r="I2" s="14">
        <f>Y25</f>
        <v>0.16</v>
      </c>
      <c r="J2" s="14">
        <f>'Charge Stats'!AP2</f>
        <v>1777.6519999999998</v>
      </c>
      <c r="K2" s="14">
        <f>X20</f>
        <v>21620</v>
      </c>
      <c r="L2" s="14">
        <f>X18</f>
        <v>538.20000000000005</v>
      </c>
      <c r="M2" s="14">
        <f>X19</f>
        <v>662.4</v>
      </c>
      <c r="N2" s="14">
        <f>X21</f>
        <v>0.38640000000000002</v>
      </c>
      <c r="O2" s="14">
        <f>X22</f>
        <v>0.45999999999999996</v>
      </c>
      <c r="P2" s="14">
        <f>X23</f>
        <v>2.3000000000000003E-2</v>
      </c>
      <c r="Q2" s="118">
        <f>'Charge Stats'!AW2</f>
        <v>0</v>
      </c>
      <c r="R2" s="118">
        <f>'Charge Stats'!AX2</f>
        <v>0</v>
      </c>
      <c r="S2" s="14">
        <f>C2</f>
        <v>784</v>
      </c>
      <c r="T2" s="14">
        <f>L2</f>
        <v>538.20000000000005</v>
      </c>
      <c r="U2" s="126">
        <f>D2</f>
        <v>320</v>
      </c>
      <c r="V2" s="14">
        <f>M2</f>
        <v>662.4</v>
      </c>
      <c r="W2" s="118">
        <f>B2</f>
        <v>0</v>
      </c>
      <c r="X2" s="136">
        <f>K2</f>
        <v>21620</v>
      </c>
    </row>
    <row r="3" spans="1:27" x14ac:dyDescent="0.3">
      <c r="B3" s="14">
        <f>'Charge Stats'!AJ3</f>
        <v>0</v>
      </c>
      <c r="C3" s="14" t="str">
        <f>'Charge Stats'!AH3</f>
        <v>Gas Emission Saved (Lbs)</v>
      </c>
      <c r="D3" s="14">
        <f>'Charge Stats'!AI3</f>
        <v>0</v>
      </c>
      <c r="E3" s="14">
        <f>'Charge Stats'!AK3</f>
        <v>0</v>
      </c>
      <c r="F3" s="14">
        <f>'Charge Stats'!AL3</f>
        <v>0</v>
      </c>
      <c r="G3" s="14">
        <f>'Charge Stats'!AM3</f>
        <v>0</v>
      </c>
      <c r="H3" s="14">
        <f>'Charge Stats'!AN3</f>
        <v>0</v>
      </c>
      <c r="I3" s="14">
        <f>'Charge Stats'!AO3</f>
        <v>0</v>
      </c>
      <c r="J3" s="14" t="str">
        <f>'Charge Stats'!AP3</f>
        <v>Natural Gas Emission from Electric Power Plant (Lbs)</v>
      </c>
      <c r="K3" s="14">
        <f>'Charge Stats'!AS3</f>
        <v>0</v>
      </c>
      <c r="L3" s="14">
        <f>'Charge Stats'!AQ3</f>
        <v>0</v>
      </c>
      <c r="M3" s="14">
        <f>'Charge Stats'!AR3</f>
        <v>0</v>
      </c>
      <c r="N3" s="14">
        <f>'Charge Stats'!AT3</f>
        <v>0</v>
      </c>
      <c r="O3" s="14">
        <f>'Charge Stats'!AU3</f>
        <v>0</v>
      </c>
      <c r="P3" s="14">
        <f>'Charge Stats'!AV3</f>
        <v>0</v>
      </c>
      <c r="Q3" s="14">
        <f>'Charge Stats'!AW3</f>
        <v>0</v>
      </c>
      <c r="R3" s="14">
        <f>'Charge Stats'!AX3</f>
        <v>0</v>
      </c>
    </row>
    <row r="4" spans="1:27" s="2" customFormat="1" ht="29.4" customHeight="1" x14ac:dyDescent="0.3">
      <c r="B4" s="117" t="str">
        <f>'Charge Stats'!AJ4</f>
        <v xml:space="preserve">**Nitrogen**       N₂              </v>
      </c>
      <c r="C4" s="117" t="str">
        <f>'Charge Stats'!AH4</f>
        <v>Carbon dioxide (CO₂)</v>
      </c>
      <c r="D4" s="117" t="str">
        <f>'Charge Stats'!AI4</f>
        <v>Water vapor (H₂O)</v>
      </c>
      <c r="E4" s="117" t="str">
        <f>'Charge Stats'!AK4</f>
        <v>Carbon monoxide (CO)</v>
      </c>
      <c r="F4" s="117" t="str">
        <f>'Charge Stats'!AL4</f>
        <v>Nitrogen oxides (NOₓ)</v>
      </c>
      <c r="G4" s="117" t="str">
        <f>'Charge Stats'!AM4</f>
        <v>Unburned hydrocarbons (VOCs)</v>
      </c>
      <c r="H4" s="117" t="str">
        <f>'Charge Stats'!AN4</f>
        <v>Particulate matter (PM2.5)</v>
      </c>
      <c r="I4" s="117" t="str">
        <f>'Charge Stats'!AO4</f>
        <v>Sulfur dioxide (SO₂)</v>
      </c>
      <c r="J4" s="117" t="str">
        <f>'Charge Stats'!AP4</f>
        <v>cu Ft Natural Gas</v>
      </c>
      <c r="K4" s="117" t="str">
        <f>'Charge Stats'!AS4</f>
        <v xml:space="preserve">**Nitrogen**       N₂              </v>
      </c>
      <c r="L4" s="117" t="str">
        <f>'Charge Stats'!AQ4</f>
        <v>Carbon dioxide (CO₂)</v>
      </c>
      <c r="M4" s="117" t="str">
        <f>'Charge Stats'!AR4</f>
        <v>Water vapor (H₂O)</v>
      </c>
      <c r="N4" s="117" t="str">
        <f>'Charge Stats'!AT4</f>
        <v>Carbon monoxide (CO)</v>
      </c>
      <c r="O4" s="117" t="str">
        <f>'Charge Stats'!AU4</f>
        <v>Nitrogen oxides (NOₓ)</v>
      </c>
      <c r="P4" s="117" t="str">
        <f>'Charge Stats'!AV4</f>
        <v>Unburned hydrocarbons (VOCs)</v>
      </c>
      <c r="Q4" s="117" t="str">
        <f>'Charge Stats'!AW4</f>
        <v>Particulate matter (PM2.5)</v>
      </c>
      <c r="R4" s="117" t="str">
        <f>'Charge Stats'!AX4</f>
        <v>Sulfur dioxide (SO₂)</v>
      </c>
    </row>
    <row r="5" spans="1:27" x14ac:dyDescent="0.3">
      <c r="H5" t="str">
        <f>"Emissions from "&amp;INT('Emissions Savings'!B3/Constants!C14)&amp;" KWh at Electric Power Plant vs. "&amp;INT('Emissions Savings'!A4)&amp;" Gallons of Gas to go "&amp;'Emissions Savings'!J14&amp;" Miles"</f>
        <v>Emissions from 404 KWh at Electric Power Plant vs. 40 Gallons of Gas to go 1000 Miles</v>
      </c>
    </row>
    <row r="6" spans="1:27" x14ac:dyDescent="0.3">
      <c r="H6" t="s">
        <v>331</v>
      </c>
    </row>
    <row r="7" spans="1:27" x14ac:dyDescent="0.3">
      <c r="B7" s="9"/>
      <c r="C7" s="9"/>
      <c r="D7" s="9"/>
      <c r="E7" s="9"/>
      <c r="F7" s="9"/>
      <c r="G7" s="9"/>
      <c r="H7" s="9"/>
      <c r="I7" s="9"/>
      <c r="J7" s="9"/>
      <c r="K7" s="9"/>
      <c r="L7" s="9"/>
      <c r="M7" s="9"/>
      <c r="N7" s="9"/>
      <c r="P7" s="20" t="s">
        <v>380</v>
      </c>
      <c r="Q7" s="19"/>
      <c r="R7" s="19"/>
      <c r="S7" s="19"/>
      <c r="T7" s="19"/>
      <c r="U7" s="19"/>
      <c r="V7" s="9"/>
      <c r="W7" s="9"/>
      <c r="X7" s="9"/>
      <c r="Y7" s="9"/>
      <c r="Z7" s="9"/>
      <c r="AA7" s="9"/>
    </row>
    <row r="8" spans="1:27" x14ac:dyDescent="0.3">
      <c r="A8" s="9"/>
      <c r="B8" s="9"/>
      <c r="C8" s="9"/>
      <c r="D8" s="9"/>
      <c r="E8" s="9"/>
      <c r="F8" s="9"/>
      <c r="G8" s="9"/>
      <c r="H8" s="9"/>
      <c r="I8" s="9"/>
      <c r="J8" s="9"/>
      <c r="K8" s="9"/>
      <c r="L8" s="9"/>
      <c r="M8" s="9"/>
      <c r="N8" s="9"/>
      <c r="O8" s="9"/>
      <c r="P8" s="9"/>
      <c r="Q8" s="9"/>
      <c r="R8" s="9"/>
      <c r="S8" s="9"/>
      <c r="T8" s="9"/>
      <c r="U8" s="9"/>
      <c r="V8" s="9"/>
      <c r="AA8" s="9"/>
    </row>
    <row r="9" spans="1:27" x14ac:dyDescent="0.3">
      <c r="A9" s="9"/>
      <c r="B9" s="9"/>
      <c r="C9" s="9"/>
      <c r="D9" s="9"/>
      <c r="E9" s="9"/>
      <c r="F9" s="9"/>
      <c r="G9" s="9"/>
      <c r="H9" s="9"/>
      <c r="I9" s="9"/>
      <c r="J9" s="9"/>
      <c r="K9" s="9"/>
      <c r="L9" s="9"/>
      <c r="M9" s="9"/>
      <c r="N9" s="9"/>
      <c r="O9" s="9"/>
      <c r="P9" s="9"/>
      <c r="Q9" s="9"/>
      <c r="R9" s="9"/>
      <c r="S9" s="9"/>
      <c r="T9" s="9"/>
      <c r="U9" s="9"/>
      <c r="V9" s="9"/>
      <c r="AA9" s="9"/>
    </row>
    <row r="10" spans="1:27"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spans="1:27"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spans="1:27"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spans="1:27"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spans="1:27"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spans="1:27"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spans="1:27" x14ac:dyDescent="0.3">
      <c r="A17" s="9"/>
      <c r="B17" s="9"/>
      <c r="C17" s="9"/>
      <c r="D17" s="9"/>
      <c r="E17" s="9"/>
      <c r="F17" s="9"/>
      <c r="G17" s="9"/>
      <c r="H17" s="9"/>
      <c r="I17" s="9"/>
      <c r="J17" s="9"/>
      <c r="K17" s="9"/>
      <c r="L17" s="9"/>
      <c r="M17" s="9"/>
      <c r="N17" s="9"/>
      <c r="O17" s="9"/>
      <c r="P17" s="9"/>
      <c r="Q17" s="9"/>
      <c r="R17" s="9"/>
      <c r="S17" s="9"/>
      <c r="T17" s="9"/>
      <c r="U17" s="9"/>
      <c r="V17" s="179" t="s">
        <v>336</v>
      </c>
      <c r="W17" s="179" t="s">
        <v>337</v>
      </c>
      <c r="X17" s="9" t="str">
        <f>'Emissions Savings'!I19</f>
        <v>Natural Gas Emission</v>
      </c>
      <c r="Y17" s="9" t="str">
        <f>'Emissions Savings'!J19</f>
        <v>Gasoline Emission</v>
      </c>
      <c r="Z17" s="9" t="str">
        <f>'Emissions Savings'!K19</f>
        <v>Chemical Component</v>
      </c>
      <c r="AA17" s="9"/>
    </row>
    <row r="18" spans="1:27" x14ac:dyDescent="0.3">
      <c r="A18" s="9"/>
      <c r="B18" s="9"/>
      <c r="C18" s="9"/>
      <c r="D18" s="9"/>
      <c r="E18" s="9"/>
      <c r="F18" s="9"/>
      <c r="G18" s="9"/>
      <c r="H18" s="9"/>
      <c r="I18" s="9"/>
      <c r="J18" s="9"/>
      <c r="K18" s="9"/>
      <c r="L18" s="9"/>
      <c r="M18" s="9"/>
      <c r="N18" s="9"/>
      <c r="O18" s="9"/>
      <c r="P18" s="9"/>
      <c r="Q18" s="9"/>
      <c r="R18" s="9"/>
      <c r="S18" s="9"/>
      <c r="T18" s="9"/>
      <c r="U18" s="9"/>
      <c r="V18" s="179">
        <v>6458.4</v>
      </c>
      <c r="W18" s="179">
        <v>9408</v>
      </c>
      <c r="X18" s="9">
        <f>'Emissions Savings'!I20</f>
        <v>538.20000000000005</v>
      </c>
      <c r="Y18" s="9">
        <f>'Emissions Savings'!J20</f>
        <v>784</v>
      </c>
      <c r="Z18" s="9" t="str">
        <f>'Emissions Savings'!K20</f>
        <v>Carbon dioxide (CO₂)</v>
      </c>
      <c r="AA18" s="9"/>
    </row>
    <row r="19" spans="1:27" x14ac:dyDescent="0.3">
      <c r="A19" s="9"/>
      <c r="B19" s="9"/>
      <c r="C19" s="9"/>
      <c r="D19" s="9"/>
      <c r="E19" s="9"/>
      <c r="F19" s="9"/>
      <c r="G19" s="9"/>
      <c r="H19" s="9"/>
      <c r="I19" s="9"/>
      <c r="J19" s="9"/>
      <c r="K19" s="9"/>
      <c r="L19" s="9"/>
      <c r="M19" s="9"/>
      <c r="N19" s="9"/>
      <c r="O19" s="9"/>
      <c r="P19" s="9"/>
      <c r="Q19" s="9"/>
      <c r="R19" s="9"/>
      <c r="S19" s="9"/>
      <c r="T19" s="9"/>
      <c r="U19" s="9"/>
      <c r="V19" s="179">
        <v>7948.7999999999993</v>
      </c>
      <c r="W19" s="179">
        <v>3840</v>
      </c>
      <c r="X19" s="9">
        <f>'Emissions Savings'!I21</f>
        <v>662.4</v>
      </c>
      <c r="Y19" s="9">
        <f>'Emissions Savings'!J21</f>
        <v>320</v>
      </c>
      <c r="Z19" s="9" t="str">
        <f>'Emissions Savings'!K21</f>
        <v>Water vapor (H₂O)</v>
      </c>
      <c r="AA19" s="9"/>
    </row>
    <row r="20" spans="1:27" x14ac:dyDescent="0.3">
      <c r="A20" s="9"/>
      <c r="B20" s="9"/>
      <c r="C20" s="9"/>
      <c r="D20" s="9"/>
      <c r="E20" s="9"/>
      <c r="F20" s="9"/>
      <c r="G20" s="9"/>
      <c r="H20" s="9"/>
      <c r="I20" s="9"/>
      <c r="J20" s="9"/>
      <c r="K20" s="9"/>
      <c r="L20" s="9"/>
      <c r="M20" s="9"/>
      <c r="N20" s="9"/>
      <c r="O20" s="9"/>
      <c r="P20" s="9"/>
      <c r="Q20" s="9"/>
      <c r="R20" s="9"/>
      <c r="S20" s="9"/>
      <c r="T20" s="9"/>
      <c r="U20" s="9"/>
      <c r="V20" s="179">
        <v>259440</v>
      </c>
      <c r="W20" s="179">
        <v>0</v>
      </c>
      <c r="X20" s="9">
        <f>'Emissions Savings'!I22</f>
        <v>21620</v>
      </c>
      <c r="Y20" s="9">
        <f>'Emissions Savings'!J22</f>
        <v>0</v>
      </c>
      <c r="Z20" s="9" t="str">
        <f>'Emissions Savings'!K22</f>
        <v xml:space="preserve"> **Nitrogen**       N₂              </v>
      </c>
      <c r="AA20" s="9"/>
    </row>
    <row r="21" spans="1:27" x14ac:dyDescent="0.3">
      <c r="A21" s="9"/>
      <c r="B21" s="9"/>
      <c r="C21" s="9"/>
      <c r="D21" s="9"/>
      <c r="E21" s="9"/>
      <c r="F21" s="9"/>
      <c r="G21" s="9"/>
      <c r="H21" s="9"/>
      <c r="I21" s="9"/>
      <c r="J21" s="9"/>
      <c r="K21" s="9"/>
      <c r="L21" s="9"/>
      <c r="M21" s="9"/>
      <c r="N21" s="9"/>
      <c r="O21" s="9"/>
      <c r="P21" s="9"/>
      <c r="Q21" s="9"/>
      <c r="R21" s="9"/>
      <c r="S21" s="9"/>
      <c r="T21" s="9"/>
      <c r="U21" s="9"/>
      <c r="V21" s="179">
        <v>4.6368</v>
      </c>
      <c r="W21" s="179">
        <v>9.6</v>
      </c>
      <c r="X21" s="9">
        <f>'Emissions Savings'!I23</f>
        <v>0.38640000000000002</v>
      </c>
      <c r="Y21" s="9">
        <f>'Emissions Savings'!J23</f>
        <v>0.8</v>
      </c>
      <c r="Z21" s="9" t="str">
        <f>'Emissions Savings'!K23</f>
        <v>Carbon monoxide (CO)</v>
      </c>
      <c r="AA21" s="9"/>
    </row>
    <row r="22" spans="1:27" x14ac:dyDescent="0.3">
      <c r="A22" s="9"/>
      <c r="B22" s="9"/>
      <c r="C22" s="9"/>
      <c r="D22" s="9"/>
      <c r="E22" s="9"/>
      <c r="F22" s="9"/>
      <c r="G22" s="9"/>
      <c r="H22" s="9"/>
      <c r="I22" s="9"/>
      <c r="J22" s="9"/>
      <c r="K22" s="9"/>
      <c r="L22" s="9"/>
      <c r="M22" s="9"/>
      <c r="N22" s="9"/>
      <c r="O22" s="9"/>
      <c r="P22" s="9"/>
      <c r="Q22" s="9"/>
      <c r="R22" s="9"/>
      <c r="S22" s="9"/>
      <c r="T22" s="9"/>
      <c r="U22" s="9"/>
      <c r="V22" s="179">
        <v>5.52</v>
      </c>
      <c r="W22" s="179">
        <v>4.8</v>
      </c>
      <c r="X22" s="9">
        <f>'Emissions Savings'!I24</f>
        <v>0.45999999999999996</v>
      </c>
      <c r="Y22" s="9">
        <f>'Emissions Savings'!J24</f>
        <v>0.4</v>
      </c>
      <c r="Z22" s="9" t="str">
        <f>'Emissions Savings'!K24</f>
        <v>Nitrogen oxides (NOₓ)</v>
      </c>
      <c r="AA22" s="9"/>
    </row>
    <row r="23" spans="1:27" x14ac:dyDescent="0.3">
      <c r="A23" s="9"/>
      <c r="B23" s="9"/>
      <c r="C23" s="9"/>
      <c r="D23" s="9"/>
      <c r="E23" s="9"/>
      <c r="F23" s="9"/>
      <c r="G23" s="9"/>
      <c r="H23" s="9"/>
      <c r="I23" s="9"/>
      <c r="J23" s="9"/>
      <c r="K23" s="9"/>
      <c r="L23" s="9"/>
      <c r="M23" s="9"/>
      <c r="N23" s="9"/>
      <c r="O23" s="9"/>
      <c r="P23" s="9"/>
      <c r="Q23" s="9"/>
      <c r="R23" s="9"/>
      <c r="S23" s="9"/>
      <c r="T23" s="9"/>
      <c r="U23" s="9"/>
      <c r="V23" s="179">
        <v>0.27600000000000002</v>
      </c>
      <c r="W23" s="179">
        <v>0.96</v>
      </c>
      <c r="X23" s="9">
        <f>'Emissions Savings'!I25</f>
        <v>2.3000000000000003E-2</v>
      </c>
      <c r="Y23" s="9">
        <f>'Emissions Savings'!J25</f>
        <v>0.08</v>
      </c>
      <c r="Z23" s="9" t="str">
        <f>'Emissions Savings'!K25</f>
        <v>Unburned hydrocarbons (VOCs)</v>
      </c>
      <c r="AA23" s="9"/>
    </row>
    <row r="24" spans="1:27" x14ac:dyDescent="0.3">
      <c r="A24" s="9"/>
      <c r="B24" s="9"/>
      <c r="C24" s="9"/>
      <c r="D24" s="9"/>
      <c r="E24" s="9"/>
      <c r="F24" s="9"/>
      <c r="G24" s="9"/>
      <c r="H24" s="9"/>
      <c r="I24" s="9"/>
      <c r="J24" s="9"/>
      <c r="K24" s="9"/>
      <c r="L24" s="9"/>
      <c r="M24" s="9"/>
      <c r="N24" s="9"/>
      <c r="O24" s="9"/>
      <c r="P24" s="9"/>
      <c r="Q24" s="9"/>
      <c r="R24" s="9"/>
      <c r="S24" s="9"/>
      <c r="T24" s="9"/>
      <c r="U24" s="9"/>
      <c r="V24" s="179">
        <v>0</v>
      </c>
      <c r="W24" s="179">
        <v>0.48</v>
      </c>
      <c r="X24" s="9">
        <f>'Emissions Savings'!I26</f>
        <v>0</v>
      </c>
      <c r="Y24" s="9">
        <f>'Emissions Savings'!J26</f>
        <v>0.04</v>
      </c>
      <c r="Z24" s="9" t="str">
        <f>'Emissions Savings'!K26</f>
        <v>Particulate matter (PM2.5)</v>
      </c>
      <c r="AA24" s="9"/>
    </row>
    <row r="25" spans="1:27" x14ac:dyDescent="0.3">
      <c r="A25" s="9"/>
      <c r="B25" s="9"/>
      <c r="C25" s="9"/>
      <c r="D25" s="9"/>
      <c r="E25" s="9"/>
      <c r="F25" s="9"/>
      <c r="G25" s="9"/>
      <c r="H25" s="9"/>
      <c r="I25" s="9"/>
      <c r="J25" s="9"/>
      <c r="K25" s="9"/>
      <c r="L25" s="9"/>
      <c r="M25" s="9"/>
      <c r="N25" s="9"/>
      <c r="O25" s="9"/>
      <c r="P25" s="9"/>
      <c r="Q25" s="9"/>
      <c r="R25" s="9"/>
      <c r="S25" s="9"/>
      <c r="T25" s="9"/>
      <c r="U25" s="9"/>
      <c r="V25" s="179">
        <v>0</v>
      </c>
      <c r="W25" s="179">
        <v>1.92</v>
      </c>
      <c r="X25" s="9">
        <f>'Emissions Savings'!I27</f>
        <v>0</v>
      </c>
      <c r="Y25" s="9">
        <f>'Emissions Savings'!J27</f>
        <v>0.16</v>
      </c>
      <c r="Z25" s="9" t="str">
        <f>'Emissions Savings'!K27</f>
        <v>Sulfur dioxide (SO₂)</v>
      </c>
      <c r="AA25" s="9"/>
    </row>
    <row r="26" spans="1:27" x14ac:dyDescent="0.3">
      <c r="A26" s="9"/>
      <c r="B26" s="9"/>
      <c r="C26" s="9"/>
      <c r="D26" s="9"/>
      <c r="E26" s="9"/>
      <c r="F26" s="9"/>
      <c r="G26" s="9"/>
      <c r="H26" s="9"/>
      <c r="I26" s="9"/>
      <c r="J26" s="9"/>
      <c r="K26" s="9"/>
      <c r="L26" s="9"/>
      <c r="M26" s="9"/>
      <c r="N26" s="9"/>
      <c r="O26" s="9"/>
      <c r="P26" s="9"/>
      <c r="Q26" s="9"/>
      <c r="R26" s="9"/>
      <c r="S26" s="9"/>
      <c r="T26" s="9"/>
      <c r="U26" s="9"/>
      <c r="V26" s="179">
        <v>273857.63280000002</v>
      </c>
      <c r="W26" s="179">
        <v>13265.760000000002</v>
      </c>
      <c r="X26" s="9">
        <f>'Emissions Savings'!I28</f>
        <v>22821.469400000002</v>
      </c>
      <c r="Y26" s="9">
        <f>'Emissions Savings'!J28</f>
        <v>1105.4800000000002</v>
      </c>
      <c r="Z26" s="9" t="str">
        <f>'Emissions Savings'!K28</f>
        <v>Total Weight of Chemicals in Atmosphere</v>
      </c>
      <c r="AA26" s="9"/>
    </row>
    <row r="27" spans="1:27" x14ac:dyDescent="0.3">
      <c r="A27" s="9"/>
      <c r="B27" s="9"/>
      <c r="C27" s="9"/>
      <c r="D27" s="9"/>
      <c r="E27" s="9"/>
      <c r="F27" s="9"/>
      <c r="G27" s="9"/>
      <c r="H27" s="9"/>
      <c r="I27" s="9"/>
      <c r="J27" s="9"/>
      <c r="K27" s="9"/>
      <c r="L27" s="9"/>
      <c r="M27" s="9"/>
      <c r="N27" s="9"/>
      <c r="O27" s="9"/>
      <c r="P27" s="9"/>
      <c r="Q27" s="9"/>
      <c r="R27" s="9"/>
      <c r="S27" s="9"/>
      <c r="T27" s="9"/>
      <c r="U27" s="9"/>
      <c r="V27" s="179">
        <v>10.4328</v>
      </c>
      <c r="W27" s="179">
        <v>17.760000000000002</v>
      </c>
      <c r="X27" s="9">
        <f>'Emissions Savings'!I29</f>
        <v>0.86940000000000006</v>
      </c>
      <c r="Y27" s="9">
        <f>'Emissions Savings'!J29</f>
        <v>1.4800000000000002</v>
      </c>
      <c r="Z27" s="9" t="str">
        <f>'Emissions Savings'!K29</f>
        <v>Weight of Harmful Chemicals</v>
      </c>
      <c r="AA27" s="9"/>
    </row>
    <row r="28" spans="1:27"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spans="1:27"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spans="1:27"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spans="1:27"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spans="1:27"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spans="2:21" x14ac:dyDescent="0.3">
      <c r="B33" s="9"/>
      <c r="C33" s="9"/>
      <c r="D33" s="9"/>
      <c r="E33" s="9"/>
      <c r="F33" s="9"/>
      <c r="G33" s="9"/>
      <c r="H33" s="9"/>
      <c r="I33" s="9"/>
      <c r="J33" s="9"/>
      <c r="K33" s="9"/>
      <c r="L33" s="9"/>
      <c r="M33" s="9"/>
      <c r="N33" s="9"/>
      <c r="O33" s="9"/>
      <c r="P33" s="9"/>
      <c r="Q33" s="9"/>
      <c r="R33" s="9"/>
      <c r="S33" s="9"/>
      <c r="T33" s="9"/>
      <c r="U33" s="9"/>
    </row>
    <row r="34" spans="2:21" x14ac:dyDescent="0.3">
      <c r="B34" s="9"/>
      <c r="C34" s="9"/>
      <c r="D34" s="9"/>
      <c r="E34" s="9"/>
      <c r="F34" s="9"/>
      <c r="G34" s="9"/>
      <c r="H34" s="9"/>
      <c r="I34" s="9"/>
      <c r="J34" s="9"/>
      <c r="K34" s="9"/>
      <c r="L34" s="9"/>
      <c r="M34" s="9"/>
      <c r="N34" s="9"/>
      <c r="O34" s="9"/>
      <c r="P34" s="9"/>
      <c r="Q34" s="9"/>
      <c r="R34" s="9"/>
      <c r="S34" s="9"/>
      <c r="T34" s="9"/>
      <c r="U34" s="9"/>
    </row>
    <row r="35" spans="2:21" x14ac:dyDescent="0.3">
      <c r="B35" s="9"/>
      <c r="C35" s="9"/>
      <c r="D35" s="9"/>
      <c r="E35" s="9"/>
      <c r="F35" s="9"/>
      <c r="G35" s="9"/>
      <c r="H35" s="9"/>
      <c r="I35" s="9"/>
      <c r="J35" s="9"/>
      <c r="K35" s="9"/>
      <c r="L35" s="9"/>
      <c r="M35" s="9"/>
      <c r="N35" s="9"/>
      <c r="O35" s="9"/>
      <c r="P35" s="9"/>
      <c r="Q35" s="9"/>
      <c r="R35" s="9"/>
      <c r="S35" s="9"/>
      <c r="T35" s="9"/>
      <c r="U35" s="9"/>
    </row>
    <row r="36" spans="2:21" x14ac:dyDescent="0.3">
      <c r="B36" s="9"/>
      <c r="C36" s="9"/>
      <c r="D36" s="9"/>
      <c r="E36" s="9"/>
      <c r="F36" s="9"/>
      <c r="G36" s="9"/>
      <c r="H36" s="9"/>
      <c r="I36" s="9"/>
      <c r="J36" s="9"/>
      <c r="K36" s="9"/>
      <c r="L36" s="9"/>
      <c r="M36" s="9"/>
      <c r="N36" s="9"/>
      <c r="O36" s="9"/>
      <c r="P36" s="9"/>
      <c r="Q36" s="9"/>
      <c r="R36" s="9"/>
      <c r="S36" s="9"/>
      <c r="T36" s="9"/>
      <c r="U36" s="9"/>
    </row>
    <row r="37" spans="2:21" x14ac:dyDescent="0.3">
      <c r="B37" s="9"/>
      <c r="C37" s="9"/>
      <c r="D37" s="9"/>
      <c r="E37" s="9"/>
      <c r="F37" s="9"/>
      <c r="G37" s="9"/>
      <c r="H37" s="9"/>
      <c r="I37" s="9"/>
      <c r="J37" s="9"/>
      <c r="K37" s="9"/>
      <c r="L37" s="9"/>
      <c r="M37" s="9"/>
      <c r="N37" s="9"/>
      <c r="O37" s="9"/>
      <c r="P37" s="9"/>
      <c r="Q37" s="9"/>
      <c r="R37" s="9"/>
      <c r="S37" s="9"/>
      <c r="T37" s="9"/>
      <c r="U37" s="9"/>
    </row>
    <row r="38" spans="2:21" x14ac:dyDescent="0.3">
      <c r="B38" s="9"/>
      <c r="C38" s="9"/>
      <c r="D38" s="9"/>
      <c r="E38" s="9"/>
      <c r="F38" s="9"/>
      <c r="G38" s="9"/>
      <c r="H38" s="9"/>
      <c r="I38" s="9"/>
      <c r="J38" s="9"/>
      <c r="K38" s="9"/>
      <c r="L38" s="9"/>
      <c r="M38" s="9"/>
      <c r="N38" s="9"/>
      <c r="O38" s="9"/>
      <c r="P38" s="9"/>
      <c r="Q38" s="9"/>
      <c r="R38" s="9"/>
      <c r="S38" s="9"/>
      <c r="T38" s="9"/>
      <c r="U38" s="9"/>
    </row>
    <row r="39" spans="2:21" x14ac:dyDescent="0.3">
      <c r="B39" s="9"/>
      <c r="C39" s="9"/>
      <c r="D39" s="9"/>
      <c r="E39" s="9"/>
      <c r="F39" s="9"/>
      <c r="G39" s="9"/>
      <c r="H39" s="9"/>
      <c r="I39" s="9"/>
      <c r="J39" s="9"/>
      <c r="K39" s="9"/>
      <c r="L39" s="9"/>
      <c r="M39" s="9"/>
      <c r="N39" s="9"/>
      <c r="O39" s="9"/>
      <c r="P39" s="9"/>
      <c r="Q39" s="9"/>
      <c r="R39" s="9"/>
      <c r="S39" s="9"/>
      <c r="T39" s="9"/>
      <c r="U39" s="9"/>
    </row>
    <row r="40" spans="2:21" x14ac:dyDescent="0.3">
      <c r="B40" s="9"/>
      <c r="C40" s="9"/>
      <c r="D40" s="9"/>
      <c r="E40" s="9"/>
      <c r="F40" s="9"/>
      <c r="G40" s="9"/>
      <c r="H40" s="9"/>
      <c r="I40" s="9"/>
      <c r="J40" s="9"/>
      <c r="K40" s="9"/>
      <c r="L40" s="9"/>
      <c r="M40" s="9"/>
      <c r="N40" s="9"/>
      <c r="O40" s="9"/>
      <c r="P40" s="9"/>
      <c r="Q40" s="9"/>
      <c r="R40" s="9"/>
      <c r="S40" s="9"/>
      <c r="T40" s="9"/>
      <c r="U40" s="9"/>
    </row>
    <row r="41" spans="2:21" x14ac:dyDescent="0.3">
      <c r="B41" s="9"/>
      <c r="C41" s="9"/>
      <c r="D41" s="9"/>
      <c r="E41" s="9"/>
      <c r="F41" s="9"/>
      <c r="G41" s="9"/>
      <c r="H41" s="9"/>
      <c r="I41" s="9"/>
      <c r="J41" s="9"/>
      <c r="K41" s="9"/>
      <c r="L41" s="9"/>
      <c r="M41" s="9"/>
      <c r="N41" s="9"/>
      <c r="O41" s="9"/>
      <c r="P41" s="9"/>
      <c r="Q41" s="9"/>
      <c r="R41" s="9"/>
      <c r="S41" s="9"/>
      <c r="T41" s="9"/>
      <c r="U41" s="9"/>
    </row>
    <row r="42" spans="2:21" x14ac:dyDescent="0.3">
      <c r="B42" s="9"/>
      <c r="C42" s="9"/>
      <c r="D42" s="9"/>
      <c r="E42" s="9"/>
      <c r="F42" s="9"/>
      <c r="G42" s="9"/>
      <c r="H42" s="9"/>
      <c r="I42" s="9"/>
      <c r="J42" s="9"/>
      <c r="K42" s="9"/>
      <c r="L42" s="9"/>
      <c r="M42" s="9"/>
      <c r="N42" s="9"/>
      <c r="O42" s="9"/>
      <c r="P42" s="9"/>
      <c r="Q42" s="9"/>
      <c r="R42" s="9"/>
      <c r="S42" s="9"/>
      <c r="T42" s="9"/>
      <c r="U42" s="9"/>
    </row>
    <row r="43" spans="2:21" x14ac:dyDescent="0.3">
      <c r="B43" s="9"/>
      <c r="C43" s="9"/>
      <c r="D43" s="9"/>
      <c r="E43" s="9"/>
      <c r="F43" s="9"/>
      <c r="G43" s="9"/>
      <c r="H43" s="9"/>
      <c r="I43" s="9"/>
      <c r="J43" s="9"/>
      <c r="K43" s="9"/>
      <c r="L43" s="9"/>
      <c r="M43" s="9"/>
      <c r="N43" s="9"/>
      <c r="O43" s="9"/>
      <c r="P43" s="9"/>
      <c r="Q43" s="9"/>
      <c r="R43" s="9"/>
      <c r="S43" s="9"/>
      <c r="T43" s="9"/>
      <c r="U43" s="9"/>
    </row>
    <row r="44" spans="2:21" x14ac:dyDescent="0.3">
      <c r="B44" s="9"/>
      <c r="C44" s="9"/>
      <c r="D44" s="9"/>
      <c r="E44" s="9"/>
      <c r="F44" s="9"/>
      <c r="G44" s="9"/>
      <c r="H44" s="9"/>
      <c r="I44" s="9"/>
      <c r="J44" s="9"/>
      <c r="K44" s="9"/>
      <c r="L44" s="9"/>
      <c r="M44" s="9"/>
      <c r="N44" s="9"/>
      <c r="O44" s="9"/>
      <c r="P44" s="9"/>
      <c r="Q44" s="9"/>
      <c r="R44" s="9"/>
      <c r="S44" s="9"/>
      <c r="T44" s="9"/>
      <c r="U44" s="9"/>
    </row>
    <row r="45" spans="2:21" x14ac:dyDescent="0.3">
      <c r="B45" s="9"/>
      <c r="C45" s="9"/>
      <c r="D45" s="9"/>
      <c r="E45" s="9"/>
      <c r="F45" s="9"/>
      <c r="G45" s="9"/>
      <c r="H45" s="9"/>
      <c r="I45" s="9"/>
      <c r="J45" s="9"/>
      <c r="K45" s="9"/>
      <c r="L45" s="9"/>
      <c r="M45" s="9"/>
      <c r="N45" s="9"/>
      <c r="O45" s="9"/>
      <c r="P45" s="9"/>
      <c r="Q45" s="9"/>
      <c r="R45" s="9"/>
      <c r="S45" s="9"/>
      <c r="T45" s="9"/>
      <c r="U45" s="9"/>
    </row>
    <row r="46" spans="2:21" x14ac:dyDescent="0.3">
      <c r="B46" s="9"/>
      <c r="C46" s="9"/>
      <c r="D46" s="9"/>
      <c r="E46" s="9"/>
      <c r="F46" s="9"/>
      <c r="G46" s="9"/>
      <c r="H46" s="9"/>
      <c r="I46" s="9"/>
      <c r="J46" s="9"/>
      <c r="K46" s="9"/>
      <c r="L46" s="9"/>
      <c r="M46" s="9"/>
      <c r="N46" s="9"/>
      <c r="O46" s="9"/>
      <c r="P46" s="9"/>
      <c r="Q46" s="9"/>
      <c r="R46" s="9"/>
      <c r="S46" s="9"/>
      <c r="T46" s="9"/>
      <c r="U46" s="9"/>
    </row>
    <row r="47" spans="2:21" x14ac:dyDescent="0.3">
      <c r="B47" s="9"/>
      <c r="C47" s="9"/>
      <c r="D47" s="9"/>
      <c r="E47" s="9"/>
      <c r="F47" s="9"/>
      <c r="G47" s="9"/>
      <c r="H47" s="9"/>
      <c r="I47" s="9"/>
      <c r="J47" s="9"/>
      <c r="K47" s="9"/>
      <c r="L47" s="9"/>
      <c r="M47" s="9"/>
      <c r="N47" s="9"/>
      <c r="O47" s="9"/>
      <c r="P47" s="9"/>
      <c r="Q47" s="9"/>
      <c r="R47" s="9"/>
      <c r="S47" s="9"/>
      <c r="T47" s="9"/>
      <c r="U47" s="9"/>
    </row>
    <row r="48" spans="2:21" x14ac:dyDescent="0.3">
      <c r="B48" s="9"/>
      <c r="C48" s="9"/>
      <c r="D48" s="9"/>
      <c r="E48" s="9"/>
      <c r="F48" s="9"/>
      <c r="G48" s="9"/>
      <c r="H48" s="9"/>
      <c r="I48" s="9"/>
      <c r="J48" s="9"/>
      <c r="K48" s="9"/>
      <c r="L48" s="9"/>
      <c r="M48" s="9"/>
      <c r="N48" s="9"/>
      <c r="O48" s="9"/>
      <c r="P48" s="9"/>
      <c r="Q48" s="9"/>
      <c r="R48" s="9"/>
      <c r="S48" s="9"/>
      <c r="T48" s="9"/>
      <c r="U48" s="9"/>
    </row>
    <row r="49" spans="2:21" x14ac:dyDescent="0.3">
      <c r="B49" s="9"/>
      <c r="C49" s="9"/>
      <c r="D49" s="9"/>
      <c r="E49" s="9"/>
      <c r="F49" s="9"/>
      <c r="G49" s="9"/>
      <c r="H49" s="9"/>
      <c r="I49" s="9"/>
      <c r="J49" s="9"/>
      <c r="K49" s="9"/>
      <c r="L49" s="9"/>
      <c r="M49" s="9"/>
      <c r="N49" s="9"/>
      <c r="O49" s="9"/>
      <c r="P49" s="9"/>
      <c r="Q49" s="9"/>
      <c r="R49" s="9"/>
      <c r="S49" s="9"/>
      <c r="T49" s="9"/>
      <c r="U49" s="9"/>
    </row>
    <row r="50" spans="2:21" x14ac:dyDescent="0.3">
      <c r="B50" s="9"/>
      <c r="C50" s="9"/>
      <c r="D50" s="9"/>
      <c r="E50" s="9"/>
      <c r="F50" s="9"/>
      <c r="G50" s="9"/>
      <c r="H50" s="9"/>
      <c r="I50" s="9"/>
      <c r="J50" s="9"/>
      <c r="K50" s="9"/>
      <c r="L50" s="9"/>
      <c r="M50" s="9"/>
      <c r="N50" s="9"/>
      <c r="O50" s="9"/>
      <c r="P50" s="9"/>
      <c r="Q50" s="9"/>
      <c r="R50" s="9"/>
      <c r="S50" s="9"/>
      <c r="T50" s="9"/>
      <c r="U50" s="9"/>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43916-3548-46AA-9E61-D40002FC9B6B}">
  <dimension ref="A1:K30"/>
  <sheetViews>
    <sheetView zoomScale="90" zoomScaleNormal="90" workbookViewId="0">
      <selection activeCell="F2" sqref="F2"/>
    </sheetView>
  </sheetViews>
  <sheetFormatPr defaultRowHeight="14.4" x14ac:dyDescent="0.3"/>
  <cols>
    <col min="1" max="1" width="13.109375" customWidth="1"/>
    <col min="2" max="2" width="16.5546875" bestFit="1" customWidth="1"/>
    <col min="3" max="3" width="13.6640625" customWidth="1"/>
    <col min="4" max="4" width="17.44140625" customWidth="1"/>
    <col min="5" max="5" width="13.109375" customWidth="1"/>
    <col min="6" max="6" width="22.109375" customWidth="1"/>
    <col min="7" max="7" width="13.109375" customWidth="1"/>
    <col min="8" max="8" width="16.5546875" bestFit="1" customWidth="1"/>
    <col min="9" max="9" width="19.77734375" customWidth="1"/>
    <col min="10" max="10" width="17.21875" customWidth="1"/>
    <col min="11" max="11" width="59.88671875" style="2" customWidth="1"/>
    <col min="12" max="12" width="9.33203125" bestFit="1" customWidth="1"/>
    <col min="17" max="17" width="31.6640625" customWidth="1"/>
  </cols>
  <sheetData>
    <row r="1" spans="1:11" ht="27.6" customHeight="1" x14ac:dyDescent="0.3">
      <c r="A1" s="199" t="s">
        <v>239</v>
      </c>
      <c r="B1" s="200"/>
      <c r="C1" s="201" t="s">
        <v>329</v>
      </c>
      <c r="D1" s="202"/>
      <c r="E1" s="201" t="s">
        <v>246</v>
      </c>
      <c r="F1" s="202"/>
      <c r="G1" s="197" t="s">
        <v>238</v>
      </c>
      <c r="H1" s="198"/>
      <c r="I1" s="111" t="s">
        <v>280</v>
      </c>
      <c r="J1" s="83" t="s">
        <v>233</v>
      </c>
      <c r="K1" s="85"/>
    </row>
    <row r="2" spans="1:11" ht="28.8" customHeight="1" thickBot="1" x14ac:dyDescent="0.35">
      <c r="A2" s="49" t="s">
        <v>231</v>
      </c>
      <c r="B2" s="62" t="s">
        <v>230</v>
      </c>
      <c r="C2" s="69" t="s">
        <v>241</v>
      </c>
      <c r="D2" s="70" t="s">
        <v>242</v>
      </c>
      <c r="E2" s="69" t="s">
        <v>241</v>
      </c>
      <c r="F2" s="70" t="s">
        <v>242</v>
      </c>
      <c r="G2" s="69" t="s">
        <v>240</v>
      </c>
      <c r="H2" s="70" t="s">
        <v>230</v>
      </c>
      <c r="I2" s="71" t="s">
        <v>232</v>
      </c>
      <c r="J2" s="84" t="s">
        <v>178</v>
      </c>
      <c r="K2" s="79" t="s">
        <v>284</v>
      </c>
    </row>
    <row r="3" spans="1:11" ht="43.2" x14ac:dyDescent="0.3">
      <c r="A3" s="50"/>
      <c r="B3" s="63">
        <f>A4*Constants!$C$16*(1-Constants!$C$11)</f>
        <v>1380.0000000000002</v>
      </c>
      <c r="C3" s="50"/>
      <c r="D3" s="56">
        <f>C4*Constants!$C$16*(1-Constants!$C$11)</f>
        <v>17583.752921955507</v>
      </c>
      <c r="E3" s="50"/>
      <c r="F3" s="56">
        <f>E4*Constants!$C$16*(1-Constants!$C$11)</f>
        <v>17583.752921955507</v>
      </c>
      <c r="G3" s="50"/>
      <c r="H3" s="56">
        <f>G4*Constants!$C$16*(1-Constants!$C$11)</f>
        <v>2449.5000000000005</v>
      </c>
      <c r="I3" s="72"/>
      <c r="J3" s="75"/>
      <c r="K3" s="2" t="s">
        <v>254</v>
      </c>
    </row>
    <row r="4" spans="1:11" x14ac:dyDescent="0.3">
      <c r="A4" s="51">
        <f>J14/MPG_Kia</f>
        <v>40</v>
      </c>
      <c r="B4" s="64"/>
      <c r="C4" s="51">
        <f>Constants!C41</f>
        <v>509.67399773784069</v>
      </c>
      <c r="D4" s="57"/>
      <c r="E4" s="51">
        <f>Constants!C38</f>
        <v>509.67399773784069</v>
      </c>
      <c r="F4" s="57"/>
      <c r="G4" s="51">
        <f>Total_GallonsGas</f>
        <v>71</v>
      </c>
      <c r="H4" s="57"/>
      <c r="I4" s="73"/>
      <c r="J4" s="76"/>
      <c r="K4" s="2" t="s">
        <v>124</v>
      </c>
    </row>
    <row r="5" spans="1:11" x14ac:dyDescent="0.3">
      <c r="A5" s="52">
        <f>'Gas Chemistry'!$B$18*A4</f>
        <v>1105.4800000000002</v>
      </c>
      <c r="B5" s="65">
        <f>Constants!$B$31*B3</f>
        <v>6846.4408200000016</v>
      </c>
      <c r="C5" s="52">
        <f>'Gas Chemistry'!$B$18*C4</f>
        <v>14085.860275480705</v>
      </c>
      <c r="D5" s="58">
        <f>Constants!$B$31*D3</f>
        <v>87236.321575123526</v>
      </c>
      <c r="E5" s="52">
        <f>'Gas Chemistry'!$B$18*E4</f>
        <v>14085.860275480705</v>
      </c>
      <c r="F5" s="58">
        <f>Constants!$B$31*F3</f>
        <v>87236.321575123526</v>
      </c>
      <c r="G5" s="52">
        <f>'Gas Chemistry'!$B$18*G4</f>
        <v>1962.2270000000003</v>
      </c>
      <c r="H5" s="58">
        <f>Constants!$B$31*H3</f>
        <v>12152.432455500002</v>
      </c>
      <c r="I5" s="38">
        <f>G5-H5</f>
        <v>-10190.205455500001</v>
      </c>
      <c r="J5" s="77"/>
      <c r="K5" s="25" t="s">
        <v>229</v>
      </c>
    </row>
    <row r="6" spans="1:11" x14ac:dyDescent="0.3">
      <c r="A6" s="53">
        <f>Constants!$C$24*A4</f>
        <v>320</v>
      </c>
      <c r="B6" s="66">
        <f>(Constants!$B$24+Constants!$B$25)*B3</f>
        <v>6684.7200000000012</v>
      </c>
      <c r="C6" s="53">
        <f>Constants!$C$24*C4</f>
        <v>4077.3919819027255</v>
      </c>
      <c r="D6" s="59">
        <f>(Constants!$B$24+Constants!$B$25)*D3</f>
        <v>85175.699153952475</v>
      </c>
      <c r="E6" s="53">
        <f>Constants!$C$24*E4</f>
        <v>4077.3919819027255</v>
      </c>
      <c r="F6" s="59">
        <f>(Constants!$B$24+Constants!$B$25)*F3</f>
        <v>85175.699153952475</v>
      </c>
      <c r="G6" s="53">
        <f>Constants!$C$24*G4</f>
        <v>568</v>
      </c>
      <c r="H6" s="59">
        <f>(Constants!$B$24+Constants!$B$25)*H3</f>
        <v>11865.378000000002</v>
      </c>
      <c r="I6" s="42">
        <f>G6-H6</f>
        <v>-11297.378000000002</v>
      </c>
      <c r="J6" s="77"/>
      <c r="K6" s="25" t="s">
        <v>228</v>
      </c>
    </row>
    <row r="7" spans="1:11" ht="28.8" x14ac:dyDescent="0.3">
      <c r="A7" s="54">
        <f>'Gas Chemistry'!$B$19*A4</f>
        <v>1.4800000000000002</v>
      </c>
      <c r="B7" s="67">
        <f>Constants!$B$32*B3</f>
        <v>0.26082000000000005</v>
      </c>
      <c r="C7" s="54">
        <f>'Gas Chemistry'!$B$19*C4</f>
        <v>18.857937916300109</v>
      </c>
      <c r="D7" s="60">
        <f>Constants!$B$32*D3</f>
        <v>3.3233293022495909</v>
      </c>
      <c r="E7" s="54">
        <f>'Gas Chemistry'!$B$19*E4</f>
        <v>18.857937916300109</v>
      </c>
      <c r="F7" s="60">
        <f>Constants!$B$32*F3</f>
        <v>3.3233293022495909</v>
      </c>
      <c r="G7" s="54">
        <f>'Gas Chemistry'!$B$19*G4</f>
        <v>2.6270000000000002</v>
      </c>
      <c r="H7" s="60">
        <f>Constants!$B$32*H3</f>
        <v>0.46295550000000013</v>
      </c>
      <c r="I7" s="32">
        <f>G7-H7</f>
        <v>2.1640445000000001</v>
      </c>
      <c r="J7" s="77"/>
      <c r="K7" s="25" t="s">
        <v>227</v>
      </c>
    </row>
    <row r="8" spans="1:11" ht="15" thickBot="1" x14ac:dyDescent="0.35">
      <c r="A8" s="55">
        <f>'Gas Chemistry'!$B$11*A4</f>
        <v>784</v>
      </c>
      <c r="B8" s="68">
        <f>Constants!$B$23*B3</f>
        <v>161.46000000000004</v>
      </c>
      <c r="C8" s="55">
        <f>'Gas Chemistry'!$B$11*C4</f>
        <v>9989.6103556616781</v>
      </c>
      <c r="D8" s="61">
        <f>Constants!$B$23*D3</f>
        <v>2057.2990918687947</v>
      </c>
      <c r="E8" s="55">
        <f>'Gas Chemistry'!$B$11*E4</f>
        <v>9989.6103556616781</v>
      </c>
      <c r="F8" s="61">
        <f>Constants!$B$23*F3</f>
        <v>2057.2990918687947</v>
      </c>
      <c r="G8" s="55">
        <f>'Gas Chemistry'!$B$11*G4</f>
        <v>1391.6000000000001</v>
      </c>
      <c r="H8" s="61">
        <f>Constants!$B$23*H3</f>
        <v>286.59150000000005</v>
      </c>
      <c r="I8" s="74">
        <f>G8-H8</f>
        <v>1105.0085000000001</v>
      </c>
      <c r="J8" s="78"/>
      <c r="K8" s="2" t="s">
        <v>125</v>
      </c>
    </row>
    <row r="9" spans="1:11" x14ac:dyDescent="0.3">
      <c r="J9" s="80">
        <f>'Charge Stats'!Y2</f>
        <v>87.586288047537494</v>
      </c>
      <c r="K9" s="82" t="str">
        <f>'Charge Stats'!Y4</f>
        <v>Charge / Gas Cost Difference</v>
      </c>
    </row>
    <row r="10" spans="1:11" ht="15" thickBot="1" x14ac:dyDescent="0.35">
      <c r="J10" s="81">
        <f>'Charge Stats'!AA2</f>
        <v>96.65542794440384</v>
      </c>
      <c r="K10" s="82" t="str">
        <f>'Charge Stats'!AA4</f>
        <v>Home Chg Saving</v>
      </c>
    </row>
    <row r="11" spans="1:11" x14ac:dyDescent="0.3">
      <c r="J11" s="104">
        <f>Constants!C37</f>
        <v>1398.4399999999998</v>
      </c>
      <c r="K11" s="105" t="s">
        <v>283</v>
      </c>
    </row>
    <row r="12" spans="1:11" x14ac:dyDescent="0.3">
      <c r="J12" s="106">
        <f>Constants!C10</f>
        <v>47</v>
      </c>
      <c r="K12" s="105" t="s">
        <v>252</v>
      </c>
    </row>
    <row r="13" spans="1:11" x14ac:dyDescent="0.3">
      <c r="J13" s="106">
        <f>'Charge Stats'!B2</f>
        <v>1775</v>
      </c>
      <c r="K13" s="105" t="s">
        <v>251</v>
      </c>
    </row>
    <row r="14" spans="1:11" x14ac:dyDescent="0.3">
      <c r="J14" s="125">
        <v>1000</v>
      </c>
      <c r="K14" s="105" t="s">
        <v>330</v>
      </c>
    </row>
    <row r="15" spans="1:11" x14ac:dyDescent="0.3">
      <c r="B15" s="14"/>
      <c r="D15" s="14"/>
      <c r="F15" s="14"/>
      <c r="H15" s="14"/>
      <c r="K15" s="2" t="s">
        <v>129</v>
      </c>
    </row>
    <row r="16" spans="1:11" ht="28.8" x14ac:dyDescent="0.3">
      <c r="J16">
        <f>Constants!C10*4</f>
        <v>188</v>
      </c>
      <c r="K16" s="2" t="s">
        <v>281</v>
      </c>
    </row>
    <row r="17" spans="1:11" x14ac:dyDescent="0.3">
      <c r="A17" s="8"/>
      <c r="B17" s="8"/>
      <c r="D17" s="8"/>
      <c r="F17" s="8"/>
      <c r="H17" s="8"/>
      <c r="I17" s="8"/>
      <c r="J17" s="8">
        <f>1-(J16/I8)</f>
        <v>0.82986556212011042</v>
      </c>
      <c r="K17" s="2" t="s">
        <v>282</v>
      </c>
    </row>
    <row r="18" spans="1:11" x14ac:dyDescent="0.3">
      <c r="I18" s="190" t="s">
        <v>338</v>
      </c>
      <c r="J18" s="190"/>
      <c r="K18" s="190"/>
    </row>
    <row r="19" spans="1:11" x14ac:dyDescent="0.3">
      <c r="I19" s="103" t="s">
        <v>336</v>
      </c>
      <c r="J19" s="102" t="s">
        <v>337</v>
      </c>
      <c r="K19" s="103" t="s">
        <v>339</v>
      </c>
    </row>
    <row r="20" spans="1:11" x14ac:dyDescent="0.3">
      <c r="I20" s="127">
        <f>Constants!A23*$A$4</f>
        <v>538.20000000000005</v>
      </c>
      <c r="J20" s="131">
        <f>Constants!C23*$A$4</f>
        <v>784</v>
      </c>
      <c r="K20" s="99" t="str">
        <f>Constants!D23</f>
        <v>Carbon dioxide (CO₂)</v>
      </c>
    </row>
    <row r="21" spans="1:11" x14ac:dyDescent="0.3">
      <c r="I21" s="64">
        <f>Constants!A24*$A$4</f>
        <v>662.4</v>
      </c>
      <c r="J21" s="132">
        <f>Constants!C24*$A$4</f>
        <v>320</v>
      </c>
      <c r="K21" s="100" t="str">
        <f>Constants!D24</f>
        <v>Water vapor (H₂O)</v>
      </c>
    </row>
    <row r="22" spans="1:11" x14ac:dyDescent="0.3">
      <c r="I22" s="64">
        <f>Constants!A25*$A$4</f>
        <v>21620</v>
      </c>
      <c r="J22" s="132">
        <f>Constants!C25*$A$4</f>
        <v>0</v>
      </c>
      <c r="K22" s="100" t="str">
        <f>Constants!D25</f>
        <v xml:space="preserve"> **Nitrogen**       N₂              </v>
      </c>
    </row>
    <row r="23" spans="1:11" x14ac:dyDescent="0.3">
      <c r="I23" s="128">
        <f>Constants!A26*$A$4</f>
        <v>0.38640000000000002</v>
      </c>
      <c r="J23" s="133">
        <f>Constants!C26*$A$4</f>
        <v>0.8</v>
      </c>
      <c r="K23" s="100" t="str">
        <f>Constants!D26</f>
        <v>Carbon monoxide (CO)</v>
      </c>
    </row>
    <row r="24" spans="1:11" x14ac:dyDescent="0.3">
      <c r="I24" s="128">
        <f>Constants!A27*$A$4</f>
        <v>0.45999999999999996</v>
      </c>
      <c r="J24" s="133">
        <f>Constants!C27*$A$4</f>
        <v>0.4</v>
      </c>
      <c r="K24" s="100" t="str">
        <f>Constants!D27</f>
        <v>Nitrogen oxides (NOₓ)</v>
      </c>
    </row>
    <row r="25" spans="1:11" x14ac:dyDescent="0.3">
      <c r="I25" s="128">
        <f>Constants!A28*$A$4</f>
        <v>2.3000000000000003E-2</v>
      </c>
      <c r="J25" s="133">
        <f>Constants!C28*$A$4</f>
        <v>0.08</v>
      </c>
      <c r="K25" s="100" t="str">
        <f>Constants!D28</f>
        <v>Unburned hydrocarbons (VOCs)</v>
      </c>
    </row>
    <row r="26" spans="1:11" x14ac:dyDescent="0.3">
      <c r="I26" s="128">
        <f>Constants!A29*$A$4</f>
        <v>0</v>
      </c>
      <c r="J26" s="133">
        <f>Constants!C29*$A$4</f>
        <v>0.04</v>
      </c>
      <c r="K26" s="100" t="str">
        <f>Constants!D29</f>
        <v>Particulate matter (PM2.5)</v>
      </c>
    </row>
    <row r="27" spans="1:11" x14ac:dyDescent="0.3">
      <c r="I27" s="128">
        <f>Constants!A30*$A$4</f>
        <v>0</v>
      </c>
      <c r="J27" s="133">
        <f>Constants!C30*$A$4</f>
        <v>0.16</v>
      </c>
      <c r="K27" s="100" t="str">
        <f>Constants!D30</f>
        <v>Sulfur dioxide (SO₂)</v>
      </c>
    </row>
    <row r="28" spans="1:11" ht="15" thickBot="1" x14ac:dyDescent="0.35">
      <c r="I28" s="129">
        <f>Constants!A31*$A$4</f>
        <v>22821.469400000002</v>
      </c>
      <c r="J28" s="134">
        <f>Constants!C31*$A$4</f>
        <v>1105.4800000000002</v>
      </c>
      <c r="K28" s="100" t="str">
        <f>Constants!D31</f>
        <v>Total Weight of Chemicals in Atmosphere</v>
      </c>
    </row>
    <row r="29" spans="1:11" ht="15" thickTop="1" x14ac:dyDescent="0.3">
      <c r="I29" s="130">
        <f>Constants!A32*$A$4</f>
        <v>0.86940000000000006</v>
      </c>
      <c r="J29" s="135">
        <f>Constants!C32*$A$4</f>
        <v>1.4800000000000002</v>
      </c>
      <c r="K29" s="101" t="str">
        <f>Constants!D32</f>
        <v>Weight of Harmful Chemicals</v>
      </c>
    </row>
    <row r="30" spans="1:11" ht="129.6" x14ac:dyDescent="0.3">
      <c r="K30" s="2" t="s">
        <v>179</v>
      </c>
    </row>
  </sheetData>
  <mergeCells count="5">
    <mergeCell ref="I18:K18"/>
    <mergeCell ref="G1:H1"/>
    <mergeCell ref="A1:B1"/>
    <mergeCell ref="E1:F1"/>
    <mergeCell ref="C1:D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6ACB-DC47-4D7A-9F7E-F88CFB5FEA63}">
  <dimension ref="A1:F214"/>
  <sheetViews>
    <sheetView tabSelected="1" zoomScale="90" zoomScaleNormal="90" workbookViewId="0">
      <selection activeCell="C3" sqref="C3"/>
    </sheetView>
  </sheetViews>
  <sheetFormatPr defaultRowHeight="14.4" x14ac:dyDescent="0.3"/>
  <cols>
    <col min="1" max="1" width="28.77734375" customWidth="1"/>
    <col min="2" max="2" width="23.77734375" customWidth="1"/>
    <col min="3" max="3" width="44.33203125" customWidth="1"/>
    <col min="4" max="4" width="56.33203125" customWidth="1"/>
    <col min="5" max="5" width="32.33203125" customWidth="1"/>
    <col min="6" max="6" width="41.5546875" customWidth="1"/>
  </cols>
  <sheetData>
    <row r="1" spans="1:6" ht="23.4" x14ac:dyDescent="0.3">
      <c r="A1" s="22" t="s">
        <v>59</v>
      </c>
      <c r="B1" s="22"/>
    </row>
    <row r="2" spans="1:6" x14ac:dyDescent="0.3">
      <c r="A2" s="23"/>
      <c r="B2" s="23"/>
    </row>
    <row r="3" spans="1:6" x14ac:dyDescent="0.3">
      <c r="A3" s="23" t="s">
        <v>60</v>
      </c>
      <c r="B3" s="23"/>
      <c r="E3" t="s">
        <v>94</v>
      </c>
    </row>
    <row r="4" spans="1:6" x14ac:dyDescent="0.3">
      <c r="A4" s="23" t="s">
        <v>61</v>
      </c>
      <c r="B4" s="23"/>
    </row>
    <row r="5" spans="1:6" x14ac:dyDescent="0.3">
      <c r="A5" s="23" t="s">
        <v>62</v>
      </c>
      <c r="B5" s="23"/>
      <c r="E5" s="24" t="s">
        <v>95</v>
      </c>
      <c r="F5" s="24" t="s">
        <v>96</v>
      </c>
    </row>
    <row r="6" spans="1:6" ht="28.8" x14ac:dyDescent="0.3">
      <c r="A6" s="23" t="s">
        <v>63</v>
      </c>
      <c r="B6" s="23"/>
      <c r="E6" s="26" t="s">
        <v>97</v>
      </c>
      <c r="F6" s="26" t="s">
        <v>98</v>
      </c>
    </row>
    <row r="7" spans="1:6" x14ac:dyDescent="0.3">
      <c r="E7" s="25" t="s">
        <v>99</v>
      </c>
      <c r="F7" s="25" t="s">
        <v>100</v>
      </c>
    </row>
    <row r="8" spans="1:6" ht="23.4" x14ac:dyDescent="0.3">
      <c r="A8" s="22" t="s">
        <v>64</v>
      </c>
      <c r="B8" s="22"/>
      <c r="E8" s="25" t="s">
        <v>101</v>
      </c>
      <c r="F8" s="25" t="s">
        <v>102</v>
      </c>
    </row>
    <row r="10" spans="1:6" x14ac:dyDescent="0.3">
      <c r="A10" s="24" t="s">
        <v>65</v>
      </c>
      <c r="B10" s="24"/>
      <c r="C10" s="24" t="s">
        <v>66</v>
      </c>
      <c r="D10" s="24" t="s">
        <v>67</v>
      </c>
      <c r="E10" t="s">
        <v>103</v>
      </c>
    </row>
    <row r="11" spans="1:6" x14ac:dyDescent="0.3">
      <c r="A11" s="26" t="s">
        <v>68</v>
      </c>
      <c r="B11" s="33">
        <v>19.600000000000001</v>
      </c>
      <c r="C11" s="26" t="s">
        <v>69</v>
      </c>
      <c r="D11" s="25" t="s">
        <v>70</v>
      </c>
      <c r="E11" t="s">
        <v>104</v>
      </c>
    </row>
    <row r="12" spans="1:6" x14ac:dyDescent="0.3">
      <c r="A12" s="26" t="s">
        <v>71</v>
      </c>
      <c r="B12" s="34">
        <v>8</v>
      </c>
      <c r="C12" s="25" t="s">
        <v>72</v>
      </c>
      <c r="D12" s="25" t="s">
        <v>73</v>
      </c>
    </row>
    <row r="13" spans="1:6" x14ac:dyDescent="0.3">
      <c r="A13" s="26" t="s">
        <v>74</v>
      </c>
      <c r="B13" s="35">
        <v>0.02</v>
      </c>
      <c r="C13" s="25" t="s">
        <v>75</v>
      </c>
      <c r="D13" s="25" t="s">
        <v>76</v>
      </c>
    </row>
    <row r="14" spans="1:6" x14ac:dyDescent="0.3">
      <c r="A14" s="26" t="s">
        <v>77</v>
      </c>
      <c r="B14" s="35">
        <v>0.01</v>
      </c>
      <c r="C14" s="25" t="s">
        <v>78</v>
      </c>
      <c r="D14" s="25" t="s">
        <v>79</v>
      </c>
    </row>
    <row r="15" spans="1:6" x14ac:dyDescent="0.3">
      <c r="A15" s="26" t="s">
        <v>80</v>
      </c>
      <c r="B15" s="35">
        <v>2E-3</v>
      </c>
      <c r="C15" s="25" t="s">
        <v>81</v>
      </c>
      <c r="D15" s="25" t="s">
        <v>82</v>
      </c>
    </row>
    <row r="16" spans="1:6" x14ac:dyDescent="0.3">
      <c r="A16" s="26" t="s">
        <v>83</v>
      </c>
      <c r="B16" s="35">
        <v>1E-3</v>
      </c>
      <c r="C16" s="25" t="s">
        <v>84</v>
      </c>
      <c r="D16" s="25" t="s">
        <v>85</v>
      </c>
    </row>
    <row r="17" spans="1:4" x14ac:dyDescent="0.3">
      <c r="A17" s="26" t="s">
        <v>86</v>
      </c>
      <c r="B17" s="35">
        <v>4.0000000000000001E-3</v>
      </c>
      <c r="C17" s="25" t="s">
        <v>87</v>
      </c>
      <c r="D17" s="25" t="s">
        <v>88</v>
      </c>
    </row>
    <row r="18" spans="1:4" ht="29.4" thickBot="1" x14ac:dyDescent="0.35">
      <c r="A18" s="26" t="s">
        <v>105</v>
      </c>
      <c r="B18" s="36">
        <f>SUM(B11:B17)</f>
        <v>27.637000000000004</v>
      </c>
    </row>
    <row r="19" spans="1:4" ht="15" thickTop="1" x14ac:dyDescent="0.3">
      <c r="A19" s="26" t="s">
        <v>123</v>
      </c>
      <c r="B19" s="37">
        <f>SUM(B13:B17)</f>
        <v>3.7000000000000005E-2</v>
      </c>
    </row>
    <row r="20" spans="1:4" x14ac:dyDescent="0.3">
      <c r="A20" t="str">
        <f>"*** 6.3 Gallons of Gas combines with "&amp;B18-6.63&amp;" Lbs's of Oxygen to create total weight of  "&amp;B18&amp;" in the atmosphere"</f>
        <v>*** 6.3 Gallons of Gas combines with 21.007 Lbs's of Oxygen to create total weight of  27.637 in the atmosphere</v>
      </c>
    </row>
    <row r="21" spans="1:4" x14ac:dyDescent="0.3">
      <c r="A21" t="s">
        <v>89</v>
      </c>
    </row>
    <row r="22" spans="1:4" ht="18" x14ac:dyDescent="0.3">
      <c r="A22" s="27" t="s">
        <v>90</v>
      </c>
      <c r="B22" s="27"/>
    </row>
    <row r="23" spans="1:4" x14ac:dyDescent="0.3">
      <c r="A23" s="23"/>
      <c r="B23" s="23"/>
    </row>
    <row r="24" spans="1:4" x14ac:dyDescent="0.3">
      <c r="A24" s="28" t="s">
        <v>91</v>
      </c>
      <c r="B24" s="28"/>
    </row>
    <row r="25" spans="1:4" x14ac:dyDescent="0.3">
      <c r="A25" s="23" t="s">
        <v>92</v>
      </c>
      <c r="B25" s="23"/>
    </row>
    <row r="26" spans="1:4" x14ac:dyDescent="0.3">
      <c r="A26" s="30" t="s">
        <v>93</v>
      </c>
      <c r="B26" s="30"/>
      <c r="C26" s="31"/>
      <c r="D26" s="31"/>
    </row>
    <row r="28" spans="1:4" x14ac:dyDescent="0.3">
      <c r="A28" s="18" t="s">
        <v>106</v>
      </c>
    </row>
    <row r="29" spans="1:4" x14ac:dyDescent="0.3">
      <c r="A29" t="s">
        <v>107</v>
      </c>
    </row>
    <row r="31" spans="1:4" ht="18" x14ac:dyDescent="0.3">
      <c r="A31" s="27" t="s">
        <v>108</v>
      </c>
    </row>
    <row r="33" spans="1:2" x14ac:dyDescent="0.3">
      <c r="A33" s="24" t="s">
        <v>109</v>
      </c>
      <c r="B33" s="24" t="s">
        <v>110</v>
      </c>
    </row>
    <row r="34" spans="1:2" x14ac:dyDescent="0.3">
      <c r="A34" s="26" t="s">
        <v>111</v>
      </c>
      <c r="B34" s="25" t="s">
        <v>112</v>
      </c>
    </row>
    <row r="35" spans="1:2" x14ac:dyDescent="0.3">
      <c r="A35" s="26" t="s">
        <v>113</v>
      </c>
      <c r="B35" s="21" t="s">
        <v>114</v>
      </c>
    </row>
    <row r="36" spans="1:2" x14ac:dyDescent="0.3">
      <c r="A36" s="26" t="s">
        <v>115</v>
      </c>
      <c r="B36" s="21" t="s">
        <v>116</v>
      </c>
    </row>
    <row r="37" spans="1:2" x14ac:dyDescent="0.3">
      <c r="A37" s="26" t="s">
        <v>117</v>
      </c>
      <c r="B37" s="21" t="s">
        <v>118</v>
      </c>
    </row>
    <row r="38" spans="1:2" x14ac:dyDescent="0.3">
      <c r="A38" s="26" t="s">
        <v>119</v>
      </c>
      <c r="B38" s="21" t="s">
        <v>120</v>
      </c>
    </row>
    <row r="40" spans="1:2" ht="18" x14ac:dyDescent="0.3">
      <c r="A40" s="27" t="s">
        <v>121</v>
      </c>
    </row>
    <row r="42" spans="1:2" x14ac:dyDescent="0.3">
      <c r="A42" t="s">
        <v>122</v>
      </c>
    </row>
    <row r="44" spans="1:2" x14ac:dyDescent="0.3">
      <c r="A44" t="s">
        <v>131</v>
      </c>
    </row>
    <row r="46" spans="1:2" x14ac:dyDescent="0.3">
      <c r="A46" t="s">
        <v>132</v>
      </c>
    </row>
    <row r="50" spans="1:5" ht="18" x14ac:dyDescent="0.3">
      <c r="A50" s="27" t="s">
        <v>133</v>
      </c>
    </row>
    <row r="52" spans="1:5" x14ac:dyDescent="0.3">
      <c r="A52" s="24" t="s">
        <v>134</v>
      </c>
      <c r="B52" s="24" t="s">
        <v>135</v>
      </c>
      <c r="C52" s="24" t="s">
        <v>136</v>
      </c>
    </row>
    <row r="53" spans="1:5" x14ac:dyDescent="0.3">
      <c r="A53" s="26" t="s">
        <v>137</v>
      </c>
      <c r="B53" s="26" t="s">
        <v>138</v>
      </c>
      <c r="C53" s="25" t="s">
        <v>139</v>
      </c>
      <c r="D53" s="40">
        <f>2.1/19.6</f>
        <v>0.10714285714285714</v>
      </c>
      <c r="E53" t="s">
        <v>176</v>
      </c>
    </row>
    <row r="54" spans="1:5" x14ac:dyDescent="0.3">
      <c r="A54" s="26" t="s">
        <v>140</v>
      </c>
      <c r="B54" s="26" t="s">
        <v>141</v>
      </c>
      <c r="C54" s="25" t="s">
        <v>142</v>
      </c>
    </row>
    <row r="55" spans="1:5" x14ac:dyDescent="0.3">
      <c r="A55" s="26" t="s">
        <v>143</v>
      </c>
      <c r="B55" s="26" t="s">
        <v>144</v>
      </c>
      <c r="C55" s="25" t="s">
        <v>145</v>
      </c>
    </row>
    <row r="57" spans="1:5" x14ac:dyDescent="0.3">
      <c r="A57" s="18" t="s">
        <v>146</v>
      </c>
    </row>
    <row r="58" spans="1:5" x14ac:dyDescent="0.3">
      <c r="A58" t="s">
        <v>147</v>
      </c>
    </row>
    <row r="62" spans="1:5" ht="18" x14ac:dyDescent="0.3">
      <c r="A62" s="27" t="s">
        <v>148</v>
      </c>
    </row>
    <row r="64" spans="1:5" x14ac:dyDescent="0.3">
      <c r="A64" s="24" t="s">
        <v>65</v>
      </c>
      <c r="B64" s="24" t="s">
        <v>149</v>
      </c>
      <c r="C64" s="24" t="s">
        <v>140</v>
      </c>
      <c r="D64" s="24" t="s">
        <v>150</v>
      </c>
    </row>
    <row r="65" spans="1:4" x14ac:dyDescent="0.3">
      <c r="A65" s="26" t="s">
        <v>86</v>
      </c>
      <c r="B65" s="25" t="s">
        <v>151</v>
      </c>
      <c r="C65" s="25" t="s">
        <v>152</v>
      </c>
      <c r="D65" s="26" t="s">
        <v>153</v>
      </c>
    </row>
    <row r="66" spans="1:4" x14ac:dyDescent="0.3">
      <c r="A66" s="26" t="s">
        <v>77</v>
      </c>
      <c r="B66" s="25" t="s">
        <v>154</v>
      </c>
      <c r="C66" s="25" t="s">
        <v>155</v>
      </c>
      <c r="D66" s="25" t="s">
        <v>156</v>
      </c>
    </row>
    <row r="67" spans="1:4" x14ac:dyDescent="0.3">
      <c r="A67" s="26" t="s">
        <v>157</v>
      </c>
      <c r="B67" s="25" t="s">
        <v>151</v>
      </c>
      <c r="C67" s="25" t="s">
        <v>154</v>
      </c>
      <c r="D67" s="26" t="s">
        <v>156</v>
      </c>
    </row>
    <row r="68" spans="1:4" x14ac:dyDescent="0.3">
      <c r="A68" s="26" t="s">
        <v>158</v>
      </c>
      <c r="B68" s="25" t="s">
        <v>159</v>
      </c>
      <c r="C68" s="25" t="s">
        <v>160</v>
      </c>
      <c r="D68" s="26" t="s">
        <v>161</v>
      </c>
    </row>
    <row r="71" spans="1:4" ht="18" x14ac:dyDescent="0.3">
      <c r="A71" s="27" t="s">
        <v>162</v>
      </c>
    </row>
    <row r="72" spans="1:4" x14ac:dyDescent="0.3">
      <c r="A72" s="23"/>
    </row>
    <row r="73" spans="1:4" x14ac:dyDescent="0.3">
      <c r="A73" s="28" t="s">
        <v>163</v>
      </c>
    </row>
    <row r="74" spans="1:4" x14ac:dyDescent="0.3">
      <c r="A74" s="23"/>
    </row>
    <row r="75" spans="1:4" x14ac:dyDescent="0.3">
      <c r="A75" s="28" t="s">
        <v>164</v>
      </c>
    </row>
    <row r="76" spans="1:4" x14ac:dyDescent="0.3">
      <c r="A76" s="23"/>
    </row>
    <row r="77" spans="1:4" x14ac:dyDescent="0.3">
      <c r="A77" s="28" t="s">
        <v>165</v>
      </c>
    </row>
    <row r="81" spans="1:1" ht="18" x14ac:dyDescent="0.3">
      <c r="A81" s="27" t="s">
        <v>166</v>
      </c>
    </row>
    <row r="82" spans="1:1" x14ac:dyDescent="0.3">
      <c r="A82" s="23"/>
    </row>
    <row r="83" spans="1:1" x14ac:dyDescent="0.3">
      <c r="A83" s="28" t="s">
        <v>167</v>
      </c>
    </row>
    <row r="84" spans="1:1" x14ac:dyDescent="0.3">
      <c r="A84" s="23"/>
    </row>
    <row r="85" spans="1:1" x14ac:dyDescent="0.3">
      <c r="A85" s="28" t="s">
        <v>168</v>
      </c>
    </row>
    <row r="86" spans="1:1" x14ac:dyDescent="0.3">
      <c r="A86" s="23"/>
    </row>
    <row r="87" spans="1:1" x14ac:dyDescent="0.3">
      <c r="A87" s="28" t="s">
        <v>169</v>
      </c>
    </row>
    <row r="89" spans="1:1" x14ac:dyDescent="0.3">
      <c r="A89" t="s">
        <v>170</v>
      </c>
    </row>
    <row r="93" spans="1:1" x14ac:dyDescent="0.3">
      <c r="A93" t="s">
        <v>171</v>
      </c>
    </row>
    <row r="94" spans="1:1" x14ac:dyDescent="0.3">
      <c r="A94" s="18" t="s">
        <v>172</v>
      </c>
    </row>
    <row r="95" spans="1:1" x14ac:dyDescent="0.3">
      <c r="A95" s="23"/>
    </row>
    <row r="96" spans="1:1" x14ac:dyDescent="0.3">
      <c r="A96" s="23" t="s">
        <v>173</v>
      </c>
    </row>
    <row r="97" spans="1:3" x14ac:dyDescent="0.3">
      <c r="A97" s="23"/>
    </row>
    <row r="98" spans="1:3" x14ac:dyDescent="0.3">
      <c r="A98" s="23" t="s">
        <v>174</v>
      </c>
    </row>
    <row r="99" spans="1:3" x14ac:dyDescent="0.3">
      <c r="A99" s="23"/>
    </row>
    <row r="100" spans="1:3" x14ac:dyDescent="0.3">
      <c r="A100" s="23" t="s">
        <v>175</v>
      </c>
    </row>
    <row r="103" spans="1:3" x14ac:dyDescent="0.3">
      <c r="A103" s="20" t="s">
        <v>197</v>
      </c>
      <c r="B103" s="19"/>
      <c r="C103" s="19"/>
    </row>
    <row r="104" spans="1:3" x14ac:dyDescent="0.3">
      <c r="A104" t="s">
        <v>182</v>
      </c>
    </row>
    <row r="105" spans="1:3" x14ac:dyDescent="0.3">
      <c r="A105" t="s">
        <v>183</v>
      </c>
    </row>
    <row r="106" spans="1:3" x14ac:dyDescent="0.3">
      <c r="A106" t="s">
        <v>184</v>
      </c>
    </row>
    <row r="107" spans="1:3" x14ac:dyDescent="0.3">
      <c r="A107" t="s">
        <v>185</v>
      </c>
    </row>
    <row r="108" spans="1:3" x14ac:dyDescent="0.3">
      <c r="A108" t="s">
        <v>186</v>
      </c>
    </row>
    <row r="109" spans="1:3" x14ac:dyDescent="0.3">
      <c r="A109" t="s">
        <v>187</v>
      </c>
    </row>
    <row r="111" spans="1:3" x14ac:dyDescent="0.3">
      <c r="A111" t="s">
        <v>188</v>
      </c>
    </row>
    <row r="112" spans="1:3" x14ac:dyDescent="0.3">
      <c r="A112" t="s">
        <v>189</v>
      </c>
    </row>
    <row r="113" spans="1:4" x14ac:dyDescent="0.3">
      <c r="A113" t="s">
        <v>190</v>
      </c>
    </row>
    <row r="114" spans="1:4" x14ac:dyDescent="0.3">
      <c r="A114" t="s">
        <v>191</v>
      </c>
    </row>
    <row r="115" spans="1:4" x14ac:dyDescent="0.3">
      <c r="A115" t="s">
        <v>192</v>
      </c>
    </row>
    <row r="117" spans="1:4" x14ac:dyDescent="0.3">
      <c r="A117" t="s">
        <v>193</v>
      </c>
    </row>
    <row r="118" spans="1:4" x14ac:dyDescent="0.3">
      <c r="A118" t="s">
        <v>194</v>
      </c>
    </row>
    <row r="120" spans="1:4" x14ac:dyDescent="0.3">
      <c r="A120" t="s">
        <v>198</v>
      </c>
      <c r="B120" t="s">
        <v>199</v>
      </c>
      <c r="C120" t="s">
        <v>200</v>
      </c>
      <c r="D120" t="s">
        <v>201</v>
      </c>
    </row>
    <row r="121" spans="1:4" x14ac:dyDescent="0.3">
      <c r="A121" t="s">
        <v>202</v>
      </c>
      <c r="B121" t="s">
        <v>203</v>
      </c>
      <c r="C121" t="s">
        <v>204</v>
      </c>
      <c r="D121" t="s">
        <v>205</v>
      </c>
    </row>
    <row r="122" spans="1:4" x14ac:dyDescent="0.3">
      <c r="A122" t="s">
        <v>206</v>
      </c>
      <c r="B122" s="33" t="s">
        <v>207</v>
      </c>
      <c r="C122" s="44">
        <v>0.11700000000000001</v>
      </c>
      <c r="D122" t="s">
        <v>208</v>
      </c>
    </row>
    <row r="123" spans="1:4" x14ac:dyDescent="0.3">
      <c r="A123" t="s">
        <v>209</v>
      </c>
      <c r="B123" t="s">
        <v>210</v>
      </c>
      <c r="C123" s="45">
        <v>0.14399999999999999</v>
      </c>
      <c r="D123" t="s">
        <v>211</v>
      </c>
    </row>
    <row r="124" spans="1:4" x14ac:dyDescent="0.3">
      <c r="A124" t="s">
        <v>212</v>
      </c>
      <c r="B124" s="35" t="s">
        <v>213</v>
      </c>
      <c r="C124" s="46">
        <v>8.3999999999999995E-5</v>
      </c>
      <c r="D124" t="s">
        <v>214</v>
      </c>
    </row>
    <row r="125" spans="1:4" x14ac:dyDescent="0.3">
      <c r="A125" t="s">
        <v>215</v>
      </c>
      <c r="B125" s="35" t="s">
        <v>216</v>
      </c>
      <c r="C125" s="46">
        <v>5.0000000000000004E-6</v>
      </c>
      <c r="D125" t="s">
        <v>217</v>
      </c>
    </row>
    <row r="126" spans="1:4" x14ac:dyDescent="0.3">
      <c r="A126" t="s">
        <v>218</v>
      </c>
      <c r="B126" s="35" t="s">
        <v>219</v>
      </c>
      <c r="C126" s="46">
        <v>1E-4</v>
      </c>
      <c r="D126" t="s">
        <v>220</v>
      </c>
    </row>
    <row r="127" spans="1:4" x14ac:dyDescent="0.3">
      <c r="A127" t="s">
        <v>221</v>
      </c>
      <c r="B127" t="s">
        <v>222</v>
      </c>
      <c r="C127" s="45">
        <v>4.7</v>
      </c>
      <c r="D127" t="s">
        <v>223</v>
      </c>
    </row>
    <row r="128" spans="1:4" ht="29.4" thickBot="1" x14ac:dyDescent="0.35">
      <c r="B128" s="26" t="s">
        <v>105</v>
      </c>
      <c r="C128" s="47">
        <f>SUM(C122:C127)</f>
        <v>4.9611890000000001</v>
      </c>
    </row>
    <row r="129" spans="1:4" ht="29.4" thickTop="1" x14ac:dyDescent="0.3">
      <c r="B129" s="26" t="s">
        <v>123</v>
      </c>
      <c r="C129" s="48">
        <f>C124+C125+C126</f>
        <v>1.8899999999999999E-4</v>
      </c>
    </row>
    <row r="132" spans="1:4" x14ac:dyDescent="0.3">
      <c r="A132" t="s">
        <v>195</v>
      </c>
    </row>
    <row r="134" spans="1:4" x14ac:dyDescent="0.3">
      <c r="A134" t="s">
        <v>196</v>
      </c>
    </row>
    <row r="138" spans="1:4" ht="18" x14ac:dyDescent="0.3">
      <c r="A138" s="27" t="s">
        <v>255</v>
      </c>
    </row>
    <row r="140" spans="1:4" x14ac:dyDescent="0.3">
      <c r="A140" t="s">
        <v>256</v>
      </c>
    </row>
    <row r="142" spans="1:4" ht="15.6" x14ac:dyDescent="0.3">
      <c r="A142" s="107" t="s">
        <v>257</v>
      </c>
    </row>
    <row r="144" spans="1:4" x14ac:dyDescent="0.3">
      <c r="A144" s="24" t="s">
        <v>258</v>
      </c>
      <c r="B144" s="24" t="s">
        <v>259</v>
      </c>
      <c r="C144" s="24" t="s">
        <v>260</v>
      </c>
      <c r="D144" s="24" t="s">
        <v>67</v>
      </c>
    </row>
    <row r="145" spans="1:4" ht="57.6" x14ac:dyDescent="0.3">
      <c r="A145" s="26" t="s">
        <v>261</v>
      </c>
      <c r="B145" s="25" t="s">
        <v>262</v>
      </c>
      <c r="C145" s="25" t="s">
        <v>263</v>
      </c>
      <c r="D145" s="25" t="s">
        <v>264</v>
      </c>
    </row>
    <row r="146" spans="1:4" ht="57.6" x14ac:dyDescent="0.3">
      <c r="A146" s="26" t="s">
        <v>265</v>
      </c>
      <c r="B146" s="25" t="s">
        <v>266</v>
      </c>
      <c r="C146" s="25" t="s">
        <v>267</v>
      </c>
      <c r="D146" s="25" t="s">
        <v>268</v>
      </c>
    </row>
    <row r="147" spans="1:4" x14ac:dyDescent="0.3">
      <c r="B147" s="40">
        <v>0.3</v>
      </c>
    </row>
    <row r="148" spans="1:4" ht="15.6" x14ac:dyDescent="0.3">
      <c r="A148" s="107" t="s">
        <v>269</v>
      </c>
    </row>
    <row r="149" spans="1:4" x14ac:dyDescent="0.3">
      <c r="A149" s="23"/>
    </row>
    <row r="150" spans="1:4" x14ac:dyDescent="0.3">
      <c r="A150" s="28" t="s">
        <v>270</v>
      </c>
    </row>
    <row r="151" spans="1:4" x14ac:dyDescent="0.3">
      <c r="A151" s="39" t="s">
        <v>271</v>
      </c>
    </row>
    <row r="152" spans="1:4" x14ac:dyDescent="0.3">
      <c r="A152" s="39" t="s">
        <v>272</v>
      </c>
    </row>
    <row r="153" spans="1:4" x14ac:dyDescent="0.3">
      <c r="A153" s="39" t="s">
        <v>273</v>
      </c>
    </row>
    <row r="154" spans="1:4" x14ac:dyDescent="0.3">
      <c r="A154" s="28" t="s">
        <v>274</v>
      </c>
    </row>
    <row r="156" spans="1:4" ht="15.6" x14ac:dyDescent="0.3">
      <c r="A156" s="107" t="s">
        <v>275</v>
      </c>
    </row>
    <row r="157" spans="1:4" x14ac:dyDescent="0.3">
      <c r="A157" s="23"/>
    </row>
    <row r="158" spans="1:4" x14ac:dyDescent="0.3">
      <c r="A158" s="28" t="s">
        <v>276</v>
      </c>
    </row>
    <row r="159" spans="1:4" x14ac:dyDescent="0.3">
      <c r="A159" s="28" t="s">
        <v>277</v>
      </c>
    </row>
    <row r="160" spans="1:4" x14ac:dyDescent="0.3">
      <c r="A160" s="28" t="s">
        <v>278</v>
      </c>
    </row>
    <row r="162" spans="1:1" x14ac:dyDescent="0.3">
      <c r="A162" t="s">
        <v>279</v>
      </c>
    </row>
    <row r="164" spans="1:1" ht="18" x14ac:dyDescent="0.3">
      <c r="A164" s="27" t="s">
        <v>291</v>
      </c>
    </row>
    <row r="166" spans="1:1" x14ac:dyDescent="0.3">
      <c r="A166" t="s">
        <v>292</v>
      </c>
    </row>
    <row r="168" spans="1:1" ht="15.6" x14ac:dyDescent="0.3">
      <c r="A168" s="107" t="s">
        <v>293</v>
      </c>
    </row>
    <row r="169" spans="1:1" x14ac:dyDescent="0.3">
      <c r="A169" s="23"/>
    </row>
    <row r="170" spans="1:1" x14ac:dyDescent="0.3">
      <c r="A170" s="28" t="s">
        <v>294</v>
      </c>
    </row>
    <row r="171" spans="1:1" x14ac:dyDescent="0.3">
      <c r="A171" s="28" t="s">
        <v>295</v>
      </c>
    </row>
    <row r="172" spans="1:1" x14ac:dyDescent="0.3">
      <c r="A172" s="115" t="s">
        <v>296</v>
      </c>
    </row>
    <row r="173" spans="1:1" x14ac:dyDescent="0.3">
      <c r="A173" s="115" t="s">
        <v>297</v>
      </c>
    </row>
    <row r="174" spans="1:1" x14ac:dyDescent="0.3">
      <c r="A174" s="116" t="s">
        <v>298</v>
      </c>
    </row>
    <row r="175" spans="1:1" x14ac:dyDescent="0.3">
      <c r="A175" s="116" t="s">
        <v>299</v>
      </c>
    </row>
    <row r="176" spans="1:1" x14ac:dyDescent="0.3">
      <c r="A176" s="116" t="s">
        <v>300</v>
      </c>
    </row>
    <row r="177" spans="1:1" x14ac:dyDescent="0.3">
      <c r="A177" s="115" t="s">
        <v>301</v>
      </c>
    </row>
    <row r="178" spans="1:1" x14ac:dyDescent="0.3">
      <c r="A178" s="115" t="s">
        <v>302</v>
      </c>
    </row>
    <row r="180" spans="1:1" ht="15.6" x14ac:dyDescent="0.3">
      <c r="A180" s="107" t="s">
        <v>303</v>
      </c>
    </row>
    <row r="181" spans="1:1" x14ac:dyDescent="0.3">
      <c r="A181" s="23"/>
    </row>
    <row r="182" spans="1:1" x14ac:dyDescent="0.3">
      <c r="A182" s="28" t="s">
        <v>304</v>
      </c>
    </row>
    <row r="183" spans="1:1" x14ac:dyDescent="0.3">
      <c r="A183" s="28" t="s">
        <v>295</v>
      </c>
    </row>
    <row r="184" spans="1:1" x14ac:dyDescent="0.3">
      <c r="A184" s="115" t="s">
        <v>305</v>
      </c>
    </row>
    <row r="185" spans="1:1" x14ac:dyDescent="0.3">
      <c r="A185" s="116" t="s">
        <v>306</v>
      </c>
    </row>
    <row r="186" spans="1:1" x14ac:dyDescent="0.3">
      <c r="A186" s="116" t="s">
        <v>307</v>
      </c>
    </row>
    <row r="187" spans="1:1" x14ac:dyDescent="0.3">
      <c r="A187" s="116" t="s">
        <v>308</v>
      </c>
    </row>
    <row r="188" spans="1:1" x14ac:dyDescent="0.3">
      <c r="A188" s="115" t="s">
        <v>309</v>
      </c>
    </row>
    <row r="189" spans="1:1" x14ac:dyDescent="0.3">
      <c r="A189" s="116" t="s">
        <v>310</v>
      </c>
    </row>
    <row r="190" spans="1:1" x14ac:dyDescent="0.3">
      <c r="A190" s="116" t="s">
        <v>311</v>
      </c>
    </row>
    <row r="191" spans="1:1" x14ac:dyDescent="0.3">
      <c r="A191" s="116" t="s">
        <v>312</v>
      </c>
    </row>
    <row r="192" spans="1:1" x14ac:dyDescent="0.3">
      <c r="A192" s="115" t="s">
        <v>313</v>
      </c>
    </row>
    <row r="193" spans="1:1" x14ac:dyDescent="0.3">
      <c r="A193" s="116" t="s">
        <v>314</v>
      </c>
    </row>
    <row r="194" spans="1:1" x14ac:dyDescent="0.3">
      <c r="A194" s="116" t="s">
        <v>315</v>
      </c>
    </row>
    <row r="195" spans="1:1" x14ac:dyDescent="0.3">
      <c r="A195" s="115" t="s">
        <v>316</v>
      </c>
    </row>
    <row r="197" spans="1:1" ht="15.6" x14ac:dyDescent="0.3">
      <c r="A197" s="107" t="s">
        <v>317</v>
      </c>
    </row>
    <row r="198" spans="1:1" x14ac:dyDescent="0.3">
      <c r="A198" s="23"/>
    </row>
    <row r="199" spans="1:1" x14ac:dyDescent="0.3">
      <c r="A199" s="28" t="s">
        <v>318</v>
      </c>
    </row>
    <row r="200" spans="1:1" x14ac:dyDescent="0.3">
      <c r="A200" s="28" t="s">
        <v>319</v>
      </c>
    </row>
    <row r="201" spans="1:1" x14ac:dyDescent="0.3">
      <c r="A201" s="28" t="s">
        <v>320</v>
      </c>
    </row>
    <row r="203" spans="1:1" ht="15.6" x14ac:dyDescent="0.3">
      <c r="A203" s="107" t="s">
        <v>321</v>
      </c>
    </row>
    <row r="204" spans="1:1" x14ac:dyDescent="0.3">
      <c r="A204" s="23"/>
    </row>
    <row r="205" spans="1:1" x14ac:dyDescent="0.3">
      <c r="A205" s="28" t="s">
        <v>322</v>
      </c>
    </row>
    <row r="206" spans="1:1" x14ac:dyDescent="0.3">
      <c r="A206" s="28" t="s">
        <v>323</v>
      </c>
    </row>
    <row r="207" spans="1:1" x14ac:dyDescent="0.3">
      <c r="A207" s="28" t="s">
        <v>324</v>
      </c>
    </row>
    <row r="209" spans="1:1" ht="18" x14ac:dyDescent="0.3">
      <c r="A209" s="27" t="s">
        <v>325</v>
      </c>
    </row>
    <row r="210" spans="1:1" x14ac:dyDescent="0.3">
      <c r="A210" s="23"/>
    </row>
    <row r="211" spans="1:1" x14ac:dyDescent="0.3">
      <c r="A211" s="28" t="s">
        <v>326</v>
      </c>
    </row>
    <row r="212" spans="1:1" x14ac:dyDescent="0.3">
      <c r="A212" s="28" t="s">
        <v>327</v>
      </c>
    </row>
    <row r="214" spans="1:1" x14ac:dyDescent="0.3">
      <c r="A214" t="s">
        <v>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41</vt:i4>
      </vt:variant>
    </vt:vector>
  </HeadingPairs>
  <TitlesOfParts>
    <vt:vector size="50" baseType="lpstr">
      <vt:lpstr>Charge Stats</vt:lpstr>
      <vt:lpstr>Tracker Pivot</vt:lpstr>
      <vt:lpstr>Constants</vt:lpstr>
      <vt:lpstr>FPL Bill History</vt:lpstr>
      <vt:lpstr>Cost Saving Chart</vt:lpstr>
      <vt:lpstr>Emissions Chart</vt:lpstr>
      <vt:lpstr>Emissions Chart (Scenario)</vt:lpstr>
      <vt:lpstr>Emissions Savings</vt:lpstr>
      <vt:lpstr>Gas Chemistry</vt:lpstr>
      <vt:lpstr>Avg_MilesPerKWh</vt:lpstr>
      <vt:lpstr>ChargeCost_GasPricePerGallon_Range</vt:lpstr>
      <vt:lpstr>ChargeStats_AllGasCost_Range</vt:lpstr>
      <vt:lpstr>ChargeStats_AllHomeChg_Range</vt:lpstr>
      <vt:lpstr>ChargeStats_AllSuperChgCost_Range</vt:lpstr>
      <vt:lpstr>ChargeStats_AvgPricePerGallonoOfGas</vt:lpstr>
      <vt:lpstr>ChargeStats_ChargeCostHome_Range</vt:lpstr>
      <vt:lpstr>ChargeStats_ChargeCostSuperCharger_Range</vt:lpstr>
      <vt:lpstr>ChargeStats_ChargeGasCostDifference_Range</vt:lpstr>
      <vt:lpstr>ChargeStats_ChgEndTime_Range</vt:lpstr>
      <vt:lpstr>ChargeStats_ChgHours_Range</vt:lpstr>
      <vt:lpstr>ChargeStats_ChgPct_Range</vt:lpstr>
      <vt:lpstr>ChargeStats_ChgPctAfter_Range</vt:lpstr>
      <vt:lpstr>ChargeStats_ChgPctStart_Range</vt:lpstr>
      <vt:lpstr>ChargeStats_ChgStartTime_Range</vt:lpstr>
      <vt:lpstr>ChargeStats_CostPerKWhHome_Range</vt:lpstr>
      <vt:lpstr>ChargeStats_CostPerKWhSuperCharger_Range</vt:lpstr>
      <vt:lpstr>ChargeStats_Date_Range</vt:lpstr>
      <vt:lpstr>ChargeStats_EstGallonsOfGas_Range</vt:lpstr>
      <vt:lpstr>ChargeStats_EstGasCost_Range</vt:lpstr>
      <vt:lpstr>ChargeStats_GasCostPctSaving_Range</vt:lpstr>
      <vt:lpstr>ChargeStats_GasPricePerGallon_Range</vt:lpstr>
      <vt:lpstr>ChargeStats_HomeChgSaving_Range</vt:lpstr>
      <vt:lpstr>ChargeStats_HomeKWh_Range</vt:lpstr>
      <vt:lpstr>ChargeStats_HomeL1KWh_Range</vt:lpstr>
      <vt:lpstr>ChargeStats_HomeL2KWh_Range</vt:lpstr>
      <vt:lpstr>ChargeStats_MaxMilesAfterChg_Range</vt:lpstr>
      <vt:lpstr>ChargeStats_MilesPerKWh_Range</vt:lpstr>
      <vt:lpstr>ChargeStats_OdometerMiles_Range</vt:lpstr>
      <vt:lpstr>ChargeStats_SuperChargerKWh_Range</vt:lpstr>
      <vt:lpstr>ChargeStats_TotalChargeCost_Range</vt:lpstr>
      <vt:lpstr>ChargeStats_TotalKWh_Range</vt:lpstr>
      <vt:lpstr>Cost_PerKWh_Home_ChargeStats</vt:lpstr>
      <vt:lpstr>FPLBillHistory_BilledPricePerKW_Range</vt:lpstr>
      <vt:lpstr>FPLBillHistory_BillFromDate_Range</vt:lpstr>
      <vt:lpstr>FPLBillHistory_BillToDate_Range</vt:lpstr>
      <vt:lpstr>KWh_Cost_Home</vt:lpstr>
      <vt:lpstr>MaxChargePercent</vt:lpstr>
      <vt:lpstr>MPG_Kia</vt:lpstr>
      <vt:lpstr>Total_GallonsGas</vt:lpstr>
      <vt:lpstr>Total_KWs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Hizer</dc:creator>
  <cp:lastModifiedBy>Ken Hizer</cp:lastModifiedBy>
  <dcterms:created xsi:type="dcterms:W3CDTF">2025-09-16T12:17:57Z</dcterms:created>
  <dcterms:modified xsi:type="dcterms:W3CDTF">2025-10-22T11:59:06Z</dcterms:modified>
</cp:coreProperties>
</file>